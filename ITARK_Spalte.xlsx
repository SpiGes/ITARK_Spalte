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fig\Desktop\"/>
    </mc:Choice>
  </mc:AlternateContent>
  <xr:revisionPtr revIDLastSave="0" documentId="8_{499E64D0-D6D4-4F08-BFC4-44A3F0BED07F}" xr6:coauthVersionLast="47" xr6:coauthVersionMax="47" xr10:uidLastSave="{00000000-0000-0000-0000-000000000000}"/>
  <bookViews>
    <workbookView xWindow="-120" yWindow="-120" windowWidth="29040" windowHeight="15720" firstSheet="1" activeTab="1" xr2:uid="{79E09D70-4644-4617-8D43-757B8DF2D3D7}"/>
  </bookViews>
  <sheets>
    <sheet name="ITARK_SPALTE" sheetId="1" state="hidden" r:id="rId1"/>
    <sheet name="conditions Spalte_V4" sheetId="10" r:id="rId2"/>
  </sheets>
  <definedNames>
    <definedName name="_xlnm._FilterDatabase" localSheetId="1" hidden="1">'conditions Spalte_V4'!$A$3:$I$95</definedName>
    <definedName name="_xlnm._FilterDatabase" localSheetId="0" hidden="1">ITARK_SPALTE!$C$1:$I$68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10" l="1"/>
  <c r="Q35" i="10" s="1"/>
  <c r="P34" i="10"/>
  <c r="Q34" i="10" s="1"/>
  <c r="O35" i="10"/>
  <c r="N35" i="10"/>
  <c r="M35" i="10"/>
  <c r="L35" i="10"/>
  <c r="K35" i="10"/>
  <c r="O34" i="10"/>
  <c r="N34" i="10"/>
  <c r="M34" i="10"/>
  <c r="L34" i="10"/>
  <c r="K34" i="10"/>
  <c r="K66" i="10"/>
  <c r="Q66" i="10" s="1"/>
  <c r="K65" i="10"/>
  <c r="Q65" i="10" s="1"/>
  <c r="K64" i="10"/>
  <c r="Q64" i="10" s="1"/>
  <c r="K63" i="10"/>
  <c r="Q63" i="10" s="1"/>
  <c r="K62" i="10"/>
  <c r="Q62" i="10" s="1"/>
  <c r="K61" i="10"/>
  <c r="Q61" i="10" s="1"/>
  <c r="K96" i="10"/>
  <c r="Q96" i="10" s="1"/>
  <c r="K95" i="10"/>
  <c r="Q95" i="10" s="1"/>
  <c r="K94" i="10"/>
  <c r="Q94" i="10" s="1"/>
  <c r="K93" i="10"/>
  <c r="Q93" i="10" s="1"/>
  <c r="K92" i="10"/>
  <c r="Q92" i="10" s="1"/>
  <c r="K91" i="10"/>
  <c r="Q91" i="10" s="1"/>
  <c r="K90" i="10"/>
  <c r="Q90" i="10" s="1"/>
  <c r="K89" i="10"/>
  <c r="Q89" i="10" s="1"/>
  <c r="K88" i="10"/>
  <c r="Q88" i="10" s="1"/>
  <c r="K87" i="10"/>
  <c r="Q87" i="10" s="1"/>
  <c r="K86" i="10"/>
  <c r="Q86" i="10" s="1"/>
  <c r="K85" i="10"/>
  <c r="Q85" i="10" s="1"/>
  <c r="K84" i="10"/>
  <c r="Q84" i="10" s="1"/>
  <c r="K83" i="10"/>
  <c r="Q83" i="10" s="1"/>
  <c r="K82" i="10"/>
  <c r="Q82" i="10" s="1"/>
  <c r="K81" i="10"/>
  <c r="Q81" i="10" s="1"/>
  <c r="K80" i="10"/>
  <c r="Q80" i="10" s="1"/>
  <c r="K79" i="10"/>
  <c r="Q79" i="10" s="1"/>
  <c r="K78" i="10"/>
  <c r="Q78" i="10" s="1"/>
  <c r="K77" i="10"/>
  <c r="Q77" i="10" s="1"/>
  <c r="K76" i="10"/>
  <c r="Q76" i="10" s="1"/>
  <c r="K75" i="10"/>
  <c r="Q75" i="10" s="1"/>
  <c r="K74" i="10"/>
  <c r="Q74" i="10" s="1"/>
  <c r="K73" i="10"/>
  <c r="Q73" i="10" s="1"/>
  <c r="K72" i="10"/>
  <c r="Q72" i="10" s="1"/>
  <c r="K71" i="10"/>
  <c r="Q71" i="10" s="1"/>
  <c r="K70" i="10"/>
  <c r="Q70" i="10" s="1"/>
  <c r="K69" i="10"/>
  <c r="Q69" i="10" s="1"/>
  <c r="K68" i="10"/>
  <c r="Q68" i="10" s="1"/>
  <c r="K67" i="10"/>
  <c r="Q67" i="10" s="1"/>
  <c r="K60" i="10"/>
  <c r="Q60" i="10" s="1"/>
  <c r="K59" i="10"/>
  <c r="Q59" i="10" s="1"/>
  <c r="K58" i="10"/>
  <c r="Q58" i="10" s="1"/>
  <c r="K57" i="10"/>
  <c r="Q57" i="10" s="1"/>
  <c r="K56" i="10"/>
  <c r="K55" i="10"/>
  <c r="Q55" i="10" s="1"/>
  <c r="K54" i="10"/>
  <c r="Q54" i="10" s="1"/>
  <c r="K53" i="10"/>
  <c r="Q53" i="10" s="1"/>
  <c r="K52" i="10"/>
  <c r="Q52" i="10" s="1"/>
  <c r="K51" i="10"/>
  <c r="Q51" i="10" s="1"/>
  <c r="K50" i="10"/>
  <c r="Q50" i="10" s="1"/>
  <c r="K49" i="10"/>
  <c r="Q49" i="10" s="1"/>
  <c r="K48" i="10"/>
  <c r="Q48" i="10" s="1"/>
  <c r="K47" i="10"/>
  <c r="Q47" i="10" s="1"/>
  <c r="K46" i="10"/>
  <c r="Q46" i="10" s="1"/>
  <c r="K45" i="10"/>
  <c r="Q45" i="10" s="1"/>
  <c r="K44" i="10"/>
  <c r="Q44" i="10" s="1"/>
  <c r="K43" i="10"/>
  <c r="Q43" i="10" s="1"/>
  <c r="K42" i="10"/>
  <c r="Q42" i="10" s="1"/>
  <c r="K41" i="10"/>
  <c r="Q41" i="10" s="1"/>
  <c r="K40" i="10"/>
  <c r="Q40" i="10" s="1"/>
  <c r="K39" i="10"/>
  <c r="Q39" i="10" s="1"/>
  <c r="K38" i="10"/>
  <c r="Q38" i="10" s="1"/>
  <c r="P36" i="10"/>
  <c r="O36" i="10"/>
  <c r="N36" i="10"/>
  <c r="M36" i="10"/>
  <c r="L36" i="10"/>
  <c r="K36" i="10"/>
  <c r="O33" i="10"/>
  <c r="N33" i="10"/>
  <c r="M33" i="10"/>
  <c r="L33" i="10"/>
  <c r="K33" i="10"/>
  <c r="O32" i="10"/>
  <c r="N32" i="10"/>
  <c r="M32" i="10"/>
  <c r="L32" i="10"/>
  <c r="K32" i="10"/>
  <c r="P31" i="10"/>
  <c r="O31" i="10"/>
  <c r="N31" i="10"/>
  <c r="M31" i="10"/>
  <c r="L31" i="10"/>
  <c r="K31" i="10"/>
  <c r="P30" i="10"/>
  <c r="O30" i="10"/>
  <c r="N30" i="10"/>
  <c r="M30" i="10"/>
  <c r="L30" i="10"/>
  <c r="K30" i="10"/>
  <c r="P29" i="10"/>
  <c r="O29" i="10"/>
  <c r="N29" i="10"/>
  <c r="M29" i="10"/>
  <c r="L29" i="10"/>
  <c r="K29" i="10"/>
  <c r="P28" i="10"/>
  <c r="O28" i="10"/>
  <c r="N28" i="10"/>
  <c r="M28" i="10"/>
  <c r="L28" i="10"/>
  <c r="K28" i="10"/>
  <c r="P27" i="10"/>
  <c r="O27" i="10"/>
  <c r="N27" i="10"/>
  <c r="M27" i="10"/>
  <c r="L27" i="10"/>
  <c r="K27" i="10"/>
  <c r="O26" i="10"/>
  <c r="N26" i="10"/>
  <c r="M26" i="10"/>
  <c r="L26" i="10"/>
  <c r="K26" i="10"/>
  <c r="O25" i="10"/>
  <c r="N25" i="10"/>
  <c r="M25" i="10"/>
  <c r="L25" i="10"/>
  <c r="K25" i="10"/>
  <c r="P24" i="10"/>
  <c r="O24" i="10"/>
  <c r="N24" i="10"/>
  <c r="M24" i="10"/>
  <c r="L24" i="10"/>
  <c r="K24" i="10"/>
  <c r="P23" i="10"/>
  <c r="O23" i="10"/>
  <c r="N23" i="10"/>
  <c r="M23" i="10"/>
  <c r="L23" i="10"/>
  <c r="K23" i="10"/>
  <c r="P22" i="10"/>
  <c r="O22" i="10"/>
  <c r="N22" i="10"/>
  <c r="M22" i="10"/>
  <c r="L22" i="10"/>
  <c r="K22" i="10"/>
  <c r="P21" i="10"/>
  <c r="O21" i="10"/>
  <c r="N21" i="10"/>
  <c r="M21" i="10"/>
  <c r="L21" i="10"/>
  <c r="K21" i="10"/>
  <c r="P20" i="10"/>
  <c r="O20" i="10"/>
  <c r="N20" i="10"/>
  <c r="M20" i="10"/>
  <c r="L20" i="10"/>
  <c r="K20" i="10"/>
  <c r="P19" i="10"/>
  <c r="O19" i="10"/>
  <c r="N19" i="10"/>
  <c r="M19" i="10"/>
  <c r="L19" i="10"/>
  <c r="K19" i="10"/>
  <c r="P18" i="10"/>
  <c r="O18" i="10"/>
  <c r="N18" i="10"/>
  <c r="M18" i="10"/>
  <c r="L18" i="10"/>
  <c r="K18" i="10"/>
  <c r="P17" i="10"/>
  <c r="O17" i="10"/>
  <c r="N17" i="10"/>
  <c r="M17" i="10"/>
  <c r="L17" i="10"/>
  <c r="K17" i="10"/>
  <c r="P16" i="10"/>
  <c r="O16" i="10"/>
  <c r="N16" i="10"/>
  <c r="M16" i="10"/>
  <c r="L16" i="10"/>
  <c r="K16" i="10"/>
  <c r="P15" i="10"/>
  <c r="O15" i="10"/>
  <c r="N15" i="10"/>
  <c r="M15" i="10"/>
  <c r="L15" i="10"/>
  <c r="K15" i="10"/>
  <c r="P14" i="10"/>
  <c r="O14" i="10"/>
  <c r="N14" i="10"/>
  <c r="M14" i="10"/>
  <c r="L14" i="10"/>
  <c r="K14" i="10"/>
  <c r="P13" i="10"/>
  <c r="O13" i="10"/>
  <c r="N13" i="10"/>
  <c r="M13" i="10"/>
  <c r="L13" i="10"/>
  <c r="K13" i="10"/>
  <c r="P12" i="10"/>
  <c r="O12" i="10"/>
  <c r="N12" i="10"/>
  <c r="M12" i="10"/>
  <c r="L12" i="10"/>
  <c r="K12" i="10"/>
  <c r="P11" i="10"/>
  <c r="O11" i="10"/>
  <c r="N11" i="10"/>
  <c r="M11" i="10"/>
  <c r="L11" i="10"/>
  <c r="K11" i="10"/>
  <c r="P10" i="10"/>
  <c r="O10" i="10"/>
  <c r="N10" i="10"/>
  <c r="M10" i="10"/>
  <c r="L10" i="10"/>
  <c r="K10" i="10"/>
  <c r="P9" i="10"/>
  <c r="O9" i="10"/>
  <c r="N9" i="10"/>
  <c r="M9" i="10"/>
  <c r="L9" i="10"/>
  <c r="K9" i="10"/>
  <c r="P8" i="10"/>
  <c r="O8" i="10"/>
  <c r="N8" i="10"/>
  <c r="M8" i="10"/>
  <c r="L8" i="10"/>
  <c r="K8" i="10"/>
  <c r="P7" i="10"/>
  <c r="O7" i="10"/>
  <c r="N7" i="10"/>
  <c r="M7" i="10"/>
  <c r="L7" i="10"/>
  <c r="K7" i="10"/>
  <c r="P6" i="10"/>
  <c r="O6" i="10"/>
  <c r="N6" i="10"/>
  <c r="M6" i="10"/>
  <c r="L6" i="10"/>
  <c r="K6" i="10"/>
  <c r="P5" i="10"/>
  <c r="O5" i="10"/>
  <c r="N5" i="10"/>
  <c r="M5" i="10"/>
  <c r="L5" i="10"/>
  <c r="K5" i="10"/>
  <c r="P4" i="10"/>
  <c r="O4" i="10"/>
  <c r="N4" i="10"/>
  <c r="M4" i="10"/>
  <c r="L4" i="10"/>
  <c r="K4" i="10"/>
  <c r="P3" i="10"/>
  <c r="O3" i="10"/>
  <c r="N3" i="10"/>
  <c r="M3" i="10"/>
  <c r="L3" i="10"/>
  <c r="K3" i="10"/>
  <c r="Q18" i="10" l="1"/>
  <c r="Q4" i="10"/>
  <c r="Q8" i="10"/>
  <c r="Q22" i="10"/>
  <c r="Q32" i="10"/>
  <c r="Q7" i="10"/>
  <c r="Q21" i="10"/>
  <c r="Q12" i="10"/>
  <c r="Q10" i="10"/>
  <c r="Q24" i="10"/>
  <c r="Q36" i="10"/>
  <c r="Q19" i="10"/>
  <c r="Q17" i="10"/>
  <c r="Q15" i="10"/>
  <c r="Q6" i="10"/>
  <c r="Q20" i="10"/>
  <c r="Q13" i="10"/>
  <c r="Q27" i="10"/>
  <c r="Q26" i="10"/>
  <c r="Q31" i="10"/>
  <c r="Q29" i="10"/>
  <c r="Q11" i="10"/>
  <c r="Q25" i="10"/>
  <c r="Q16" i="10"/>
  <c r="Q30" i="10"/>
  <c r="Q5" i="10"/>
  <c r="Q3" i="10"/>
  <c r="Q9" i="10"/>
  <c r="Q23" i="10"/>
  <c r="Q33" i="10"/>
  <c r="Q14" i="10"/>
  <c r="Q2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Puddu Stefano BFS</author>
  </authors>
  <commentList>
    <comment ref="H1" authorId="0" shapeId="0" xr:uid="{E15BEBEF-4E7E-468F-8402-1F7B6BFF149B}">
      <text>
        <r>
          <rPr>
            <b/>
            <sz val="9"/>
            <color indexed="81"/>
            <rFont val="Tahoma"/>
            <family val="2"/>
          </rPr>
          <t>Puddu Stefano BFS:</t>
        </r>
        <r>
          <rPr>
            <sz val="9"/>
            <color indexed="81"/>
            <rFont val="Tahoma"/>
            <family val="2"/>
          </rPr>
          <t xml:space="preserve">
or
</t>
        </r>
      </text>
    </comment>
  </commentList>
</comments>
</file>

<file path=xl/sharedStrings.xml><?xml version="1.0" encoding="utf-8"?>
<sst xmlns="http://schemas.openxmlformats.org/spreadsheetml/2006/main" count="623" uniqueCount="377">
  <si>
    <t>ITARK_SPALTE</t>
  </si>
  <si>
    <t>ktr_typ</t>
  </si>
  <si>
    <t>abc_fall</t>
  </si>
  <si>
    <t>tarif</t>
  </si>
  <si>
    <t>ktr_beschr</t>
  </si>
  <si>
    <t>liegeklasse</t>
  </si>
  <si>
    <t>grundversicherung</t>
  </si>
  <si>
    <t>A</t>
  </si>
  <si>
    <t>vide</t>
  </si>
  <si>
    <t>2,3</t>
  </si>
  <si>
    <t>2,3,4</t>
  </si>
  <si>
    <t xml:space="preserve">weiterer Tarif reine stat. </t>
  </si>
  <si>
    <t>weiterer Tarif stat. ZV</t>
  </si>
  <si>
    <t>1,2,3</t>
  </si>
  <si>
    <t>5,8</t>
  </si>
  <si>
    <t>stat. Tarif KVG ZV Reha</t>
  </si>
  <si>
    <t>stat. Tarif MTK Reha</t>
  </si>
  <si>
    <t>stat. Tarif MTK ZV Reha</t>
  </si>
  <si>
    <t>übrige Selbstzahler Reha</t>
  </si>
  <si>
    <t>rein stat. KVG Fälle Psychi</t>
  </si>
  <si>
    <t>stat. Tarif KVG ZV Psychi</t>
  </si>
  <si>
    <t>stat. Tarif MTK Psychi</t>
  </si>
  <si>
    <t>stat. Tarif MTK ZV Psychi</t>
  </si>
  <si>
    <t>übrige Selbstzahler Psychi</t>
  </si>
  <si>
    <t>Tageskliniken Psychiatrie</t>
  </si>
  <si>
    <t>Tagesklinik Psycho-geriatrie</t>
  </si>
  <si>
    <t>Tagesklinik Alkohol-behandlung</t>
  </si>
  <si>
    <t>Tagesklinik Suchtbehandlung</t>
  </si>
  <si>
    <t>Tagesklinik Kinder-&amp; Jugendpsychiatrie</t>
  </si>
  <si>
    <t>Akuttagesklinik Psychiatrie</t>
  </si>
  <si>
    <t>Nachtklinik Psychiatrie</t>
  </si>
  <si>
    <t>weitere Tagesklinik</t>
  </si>
  <si>
    <t>universitäre Lehre + Forschung</t>
  </si>
  <si>
    <t>601,602,603</t>
  </si>
  <si>
    <t>5**,7**</t>
  </si>
  <si>
    <t>übrige Aufträge von Dritten</t>
  </si>
  <si>
    <t>Rein KVG Ernährungsberatung</t>
  </si>
  <si>
    <t>MTK Ernährungsberatung</t>
  </si>
  <si>
    <t>Selbstzahler (inkl. ZV) Ernährungsberatung</t>
  </si>
  <si>
    <t>Rein KVG Diabetesberatung</t>
  </si>
  <si>
    <t>MTK Diabetesberatung</t>
  </si>
  <si>
    <t>Selbstzahler (inkl. ZV) Diabetesberatung</t>
  </si>
  <si>
    <t>Rein KVG Logopädie</t>
  </si>
  <si>
    <t>MTK Logopädie</t>
  </si>
  <si>
    <t>Selbstzahler (inkl. ZV) Logopädie</t>
  </si>
  <si>
    <t>MTK  Neuropsychologie</t>
  </si>
  <si>
    <t>übrige ambulante Tarife</t>
  </si>
  <si>
    <t>371-382,402,403</t>
  </si>
  <si>
    <t>383,401</t>
  </si>
  <si>
    <t>Dialyse</t>
  </si>
  <si>
    <t>weitere Tarife (z. B. SVK) stationär</t>
  </si>
  <si>
    <t>Material, Medikamente, Blut, Fremdleistungen</t>
  </si>
  <si>
    <t>Selbstzahler (inkl. ZV) Nichtärztliche Psychotherapie</t>
  </si>
  <si>
    <t>stat. Tarif MTK akut</t>
  </si>
  <si>
    <t>stat. Tarif MTK ZV akut</t>
  </si>
  <si>
    <t>übrige Selbstzahler akut</t>
  </si>
  <si>
    <t>rein stat. KVG Fälle Reha</t>
  </si>
  <si>
    <t>rein stat. KVG Fälleakut</t>
  </si>
  <si>
    <t>stat. Tarif KVG ZV akut</t>
  </si>
  <si>
    <t>1,2,3,4,5,8</t>
  </si>
  <si>
    <t>Rein KVG TARMED</t>
  </si>
  <si>
    <t>MTK TARMED</t>
  </si>
  <si>
    <t>Selbstzahler (inkl. ZV) TARMED</t>
  </si>
  <si>
    <t>Rein KVG Physio</t>
  </si>
  <si>
    <t>MTK Physio</t>
  </si>
  <si>
    <t>Selbstzahler (inkl. ZV) Physio</t>
  </si>
  <si>
    <t>Rein KVG Ergotherapie</t>
  </si>
  <si>
    <t>MTK Ergotherapie</t>
  </si>
  <si>
    <t>Selbstzahler (inkl. ZV) Ergotherapie</t>
  </si>
  <si>
    <t>Rein KVG Neuropsychologie</t>
  </si>
  <si>
    <t>Selbstzahler (inkl. ZV) Neuropsychologie</t>
  </si>
  <si>
    <t>Rein KVG Nichtärztliche Psychotherapie</t>
  </si>
  <si>
    <t>MTK Nichtärztliche Psychotherapie</t>
  </si>
  <si>
    <t>geriatrische Langzeit stationär</t>
  </si>
  <si>
    <t>GWL</t>
  </si>
  <si>
    <t>ITARK_TITLE</t>
  </si>
  <si>
    <t>ITARK_SPALTE_1</t>
  </si>
  <si>
    <t>ITARK_SPALTE_2</t>
  </si>
  <si>
    <t>ITARK_SPALTE_3</t>
  </si>
  <si>
    <t>ITARK_SPALTE_4</t>
  </si>
  <si>
    <t>ITARK_SPALTE_5</t>
  </si>
  <si>
    <t>ITARK_SPALTE_6</t>
  </si>
  <si>
    <t>ITARK_SPALTE_7</t>
  </si>
  <si>
    <t>ITARK_SPALTE_8</t>
  </si>
  <si>
    <t>ITARK_SPALTE_9</t>
  </si>
  <si>
    <t>ITARK_SPALTE_10</t>
  </si>
  <si>
    <t>ITARK_SPALTE_11</t>
  </si>
  <si>
    <t>ITARK_SPALTE_12</t>
  </si>
  <si>
    <t>ITARK_SPALTE_13</t>
  </si>
  <si>
    <t>ITARK_SPALTE_14</t>
  </si>
  <si>
    <t>ITARK_SPALTE_15</t>
  </si>
  <si>
    <t>ITARK_SPALTE_16</t>
  </si>
  <si>
    <t>ITARK_SPALTE_17</t>
  </si>
  <si>
    <t>ITARK_SPALTE_18</t>
  </si>
  <si>
    <t>ITARK_SPALTE_19</t>
  </si>
  <si>
    <t>ITARK_SPALTE_20</t>
  </si>
  <si>
    <t>ITARK_SPALTE_21</t>
  </si>
  <si>
    <t>ITARK_SPALTE_22</t>
  </si>
  <si>
    <t>ITARK_SPALTE_23</t>
  </si>
  <si>
    <t>ITARK_SPALTE_24</t>
  </si>
  <si>
    <t>ITARK_SPALTE_25</t>
  </si>
  <si>
    <t>ITARK_SPALTE_26</t>
  </si>
  <si>
    <t>ITARK_SPALTE_27</t>
  </si>
  <si>
    <t>ITARK_SPALTE_28</t>
  </si>
  <si>
    <t>ITARK_SPALTE_29</t>
  </si>
  <si>
    <t>ITARK_SPALTE_30</t>
  </si>
  <si>
    <t>ITARK_SPALTE_31</t>
  </si>
  <si>
    <t>ITARK_SPALTE_32</t>
  </si>
  <si>
    <t>ITARK_SPALTE_33</t>
  </si>
  <si>
    <t>ITARK_SPALTE_34</t>
  </si>
  <si>
    <t>ITARK_SPALTE_35</t>
  </si>
  <si>
    <t>ITARK_SPALTE_36</t>
  </si>
  <si>
    <t>ITARK_SPALTE_37</t>
  </si>
  <si>
    <t>ITARK_SPALTE_38</t>
  </si>
  <si>
    <t>ITARK_SPALTE_39</t>
  </si>
  <si>
    <t>ITARK_SPALTE_40</t>
  </si>
  <si>
    <t>ITARK_SPALTE_41</t>
  </si>
  <si>
    <t>ITARK_SPALTE_42</t>
  </si>
  <si>
    <t>ITARK_SPALTE_43</t>
  </si>
  <si>
    <t>ITARK_SPALTE_44</t>
  </si>
  <si>
    <t>ITARK_SPALTE_45</t>
  </si>
  <si>
    <t>ITARK_SPALTE_46</t>
  </si>
  <si>
    <t>ITARK_SPALTE_47</t>
  </si>
  <si>
    <t>ITARK_SPALTE_48</t>
  </si>
  <si>
    <t>ITARK_SPALTE_49</t>
  </si>
  <si>
    <t>ITARK_SPALTE_50</t>
  </si>
  <si>
    <t>ITARK_SPALTE_51</t>
  </si>
  <si>
    <t>ITARK_SPALTE_52</t>
  </si>
  <si>
    <t>ITARK_SPALTE_53</t>
  </si>
  <si>
    <t>ITARK_SPALTE_54</t>
  </si>
  <si>
    <t>ITARK_SPALTE_55</t>
  </si>
  <si>
    <t>ITARK_SPALTE_56</t>
  </si>
  <si>
    <t>ITARK_SPALTE_57</t>
  </si>
  <si>
    <t>ITARK_SPALTE_58</t>
  </si>
  <si>
    <t>ITARK_SPALTE_59</t>
  </si>
  <si>
    <t>ITARK_SPALTE_60</t>
  </si>
  <si>
    <t>ITARK_SPALTE_61</t>
  </si>
  <si>
    <t>ITARK_SPALTE_62</t>
  </si>
  <si>
    <t>1, 101</t>
  </si>
  <si>
    <t>sub_total_spalte_1&amp;2</t>
  </si>
  <si>
    <t>sub_total_spalte_3&amp;4</t>
  </si>
  <si>
    <t>ITARK_SPALTE_NEW</t>
  </si>
  <si>
    <t>übrige Selbstzahler 
akut</t>
  </si>
  <si>
    <t>ITARK_SPALTE_OLD</t>
  </si>
  <si>
    <t>1,2</t>
  </si>
  <si>
    <t>1,2,3,4</t>
  </si>
  <si>
    <t>total_spalte_1to7</t>
  </si>
  <si>
    <t>total_spalte_8to12</t>
  </si>
  <si>
    <t>total_spalte_XXtoYY</t>
  </si>
  <si>
    <t>rein stat. KVG Fälle
akut</t>
  </si>
  <si>
    <t>stat. Tarif KVG ZV 
akut</t>
  </si>
  <si>
    <t>stat. 
Tarif MTK 
akut</t>
  </si>
  <si>
    <t>stat. Tarif MTK ZV 
akut</t>
  </si>
  <si>
    <t>rein stat. KVG Fälle 
Reha</t>
  </si>
  <si>
    <t>Früreha
rein stat. KVG</t>
  </si>
  <si>
    <t>Früreha 
KVG ZV</t>
  </si>
  <si>
    <t>Früreha 
MTK</t>
  </si>
  <si>
    <t>Früreha 
MTK ZV</t>
  </si>
  <si>
    <t>Früreha 
Übrige Selbstzahler</t>
  </si>
  <si>
    <t>Paraplegiologie 
rein stat. KVG</t>
  </si>
  <si>
    <t>Paraplegiologie 
KVG ZV</t>
  </si>
  <si>
    <t>Paraplegiologie 
MTK</t>
  </si>
  <si>
    <t>Paraplegiologie 
MTK ZV</t>
  </si>
  <si>
    <t>Paraplegiologie 
Übrige Selbstzahler</t>
  </si>
  <si>
    <t>geriatrische Langzeit
stationär</t>
  </si>
  <si>
    <t>Palliativ
stationär</t>
  </si>
  <si>
    <t>abandon</t>
  </si>
  <si>
    <t>Tageskliniken Reha KVG</t>
  </si>
  <si>
    <t>Tageskliniken Reha MTK</t>
  </si>
  <si>
    <t>Tageskliniken Reha Selbstzahler</t>
  </si>
  <si>
    <t>Rein KVG 
TARMED</t>
  </si>
  <si>
    <t>MTK 
TARMED</t>
  </si>
  <si>
    <t>Selbstzahler (inkl. ZV) 
TARMED</t>
  </si>
  <si>
    <t>Rein KVG 
Physio</t>
  </si>
  <si>
    <t>MTK 
Physio</t>
  </si>
  <si>
    <t>Selbstzahler (inkl. ZV) 
Physio</t>
  </si>
  <si>
    <t>Rein KVG 
Ergotherapie</t>
  </si>
  <si>
    <t>MTK 
Ergotherapie</t>
  </si>
  <si>
    <t>Selbstzahler (inkl. ZV) 
Ergotherapie</t>
  </si>
  <si>
    <t>Rein KVG 
Neuropsychologie</t>
  </si>
  <si>
    <t>Selbstzahler 
(inkl. ZV) 
Neuropsychologie</t>
  </si>
  <si>
    <t>Rein KVG 
Nichtärztliche Psychotherapie</t>
  </si>
  <si>
    <t>MTK 
Nichtärztliche Psychotherapie</t>
  </si>
  <si>
    <t>Selbstzahler 
(inkl. ZV) 
Nichtärztliche Psychotherapie</t>
  </si>
  <si>
    <t>Tarif Labor</t>
  </si>
  <si>
    <t>Material, Medikamente, Blut</t>
  </si>
  <si>
    <t>Fremdleistungen</t>
  </si>
  <si>
    <t>Condition</t>
  </si>
  <si>
    <t>Not Fall</t>
  </si>
  <si>
    <t>Fall (ktr_typ = 1 AND abc_fall = A)</t>
  </si>
  <si>
    <t>IF substr(ktr_typ_str,1,1) IN (5,7) THEN col = '88';</t>
  </si>
  <si>
    <t>Tarif Dyalise</t>
  </si>
  <si>
    <t>Ambulante Patientenadministration</t>
  </si>
  <si>
    <t>UV_KTR_TYP</t>
  </si>
  <si>
    <t>UV_ABC_FALL</t>
  </si>
  <si>
    <t>UV_TARIF</t>
  </si>
  <si>
    <t>UV_LIEGEKLASSE</t>
  </si>
  <si>
    <t>UV_GRUNDVERSICHERUNG</t>
  </si>
  <si>
    <t>UV_KTR_BESCHR</t>
  </si>
  <si>
    <t>371,372,373</t>
  </si>
  <si>
    <t>374,375,376</t>
  </si>
  <si>
    <t>377,378,379</t>
  </si>
  <si>
    <t>1,2,3,4,5,6,7</t>
  </si>
  <si>
    <t>NAME_DE</t>
  </si>
  <si>
    <t>NAME_FR</t>
  </si>
  <si>
    <t>Cas LAMal hosp. au sens strict, soins aigus</t>
  </si>
  <si>
    <t>Tarif hosp. LAMal assurance complémentaire</t>
  </si>
  <si>
    <t>Tarif hosp. CTM, soins aigus</t>
  </si>
  <si>
    <t>Tarif hosp. CTM assurance complémentaire</t>
  </si>
  <si>
    <t>Autres tarifs hospitaliers</t>
  </si>
  <si>
    <t>Autres tarifs hospitaliers assurance complémentaire</t>
  </si>
  <si>
    <t>Autres répondants, soins aigus</t>
  </si>
  <si>
    <t>Réa.
cas LAMal hosp. au sens strict</t>
  </si>
  <si>
    <t>Réa.
tarif hosp. LAMal assurance complémentaire</t>
  </si>
  <si>
    <t>Réa.
tarif hosp. CTM</t>
  </si>
  <si>
    <t>Réa.
tarif hosp. CTM assurance complémentaire</t>
  </si>
  <si>
    <t>Réa.
autres répondants</t>
  </si>
  <si>
    <t>Autres tarifs hosp.</t>
  </si>
  <si>
    <t>Autres tarifs hosp. Assurance complémentaire</t>
  </si>
  <si>
    <t xml:space="preserve">Psychiatrie cas LAMal hosp. au sens strict </t>
  </si>
  <si>
    <t>Psychiatrie, tarif hosp. LAMal assurance complémentaire</t>
  </si>
  <si>
    <t>Psychiatrie, tarif hosp. CTM</t>
  </si>
  <si>
    <t>Psychiatrie, tarif hosp. CTM assurance complémentaire</t>
  </si>
  <si>
    <t>Psychiatrie, autres répondants</t>
  </si>
  <si>
    <t>Longue durée gériatrie hosp.</t>
  </si>
  <si>
    <t>Psy. hôpitaux de jour</t>
  </si>
  <si>
    <t>Psy. hôpital de jour personnes âgées</t>
  </si>
  <si>
    <t>Psy. hôpital de jour traitement alcoolisme</t>
  </si>
  <si>
    <t>Psy. hôpital de jour addiction</t>
  </si>
  <si>
    <t>Psy. hôpital de jour enfants, adolescents</t>
  </si>
  <si>
    <t>Psy. hôpital de jour traitement aigu</t>
  </si>
  <si>
    <t>Psy hôpital de nuit</t>
  </si>
  <si>
    <t>autre clinique de jour</t>
  </si>
  <si>
    <t xml:space="preserve">Enseignement universitaire + recherche </t>
  </si>
  <si>
    <t>PIG</t>
  </si>
  <si>
    <t xml:space="preserve">Autres mandats de tiers </t>
  </si>
  <si>
    <t>Neuropsychologie LAMal au sens strict</t>
  </si>
  <si>
    <t>Neuropsychologie CTM</t>
  </si>
  <si>
    <t>Neuropsychologie Autopayeurs (y c. assurance complémentaire)</t>
  </si>
  <si>
    <t>Psychothérapie psychologique LAMal au sens strict</t>
  </si>
  <si>
    <t>Psychothérapie psychologique CTM</t>
  </si>
  <si>
    <t>Psychothérapie psychologique Autopayeurs (y c. assurance complémentaire)</t>
  </si>
  <si>
    <t>Autres tarifs amb. spécifiques à l'établissement</t>
  </si>
  <si>
    <t>Matériel, médicaments, sang</t>
  </si>
  <si>
    <t>Prestations de tiers</t>
  </si>
  <si>
    <t>Administration des patients ambulatoire</t>
  </si>
  <si>
    <t xml:space="preserve">Réa. précoce cas LAMal hosp. au sens strict </t>
  </si>
  <si>
    <t>Réa. précoce tarif hosp. LAMal assurance complémentaire</t>
  </si>
  <si>
    <t>Réa. précoce tarif hosp. CTM</t>
  </si>
  <si>
    <t>Réa. précoce tarif hosp. CTM assurance complémentaire</t>
  </si>
  <si>
    <t>Réa. précoce autres répondants</t>
  </si>
  <si>
    <t>Paraplégie cas LAMal hosp. au sens strict</t>
  </si>
  <si>
    <t>Paraplégie tarif hosp. LAMal assurance complémentaire</t>
  </si>
  <si>
    <t>Paraplégie tarif hosp. CTM</t>
  </si>
  <si>
    <t>Paraplégie tarif hosp. CTM assurance complémentaire</t>
  </si>
  <si>
    <t>Paraplégie autres répondants</t>
  </si>
  <si>
    <t>Autres tarifs (p. ex. contrat SVK) hosp.</t>
  </si>
  <si>
    <t>TARMED LAMal au sens strict</t>
  </si>
  <si>
    <t>TARMED CTM</t>
  </si>
  <si>
    <t>TARMED Autopayeurs (y c. assurance complémentaire)</t>
  </si>
  <si>
    <t>Tarif Laboratoire</t>
  </si>
  <si>
    <t>Physio LAMal au sens strict</t>
  </si>
  <si>
    <t>Physio CTM</t>
  </si>
  <si>
    <t>Physio Autopayeurs (y c. assurance complémentaire)</t>
  </si>
  <si>
    <t>Ergothérapie LAMal au sens strict</t>
  </si>
  <si>
    <t>Ergothérapie CTM</t>
  </si>
  <si>
    <t>Ergothérapie Autopayeurs (y c. assurance complémentaire)</t>
  </si>
  <si>
    <t>Conseils nutritionnels LAMal au sens strict</t>
  </si>
  <si>
    <t>Conseils nutritionnels CTM</t>
  </si>
  <si>
    <t>Conseils nutritionnels Autopayeurs (y c. assurance complémentaire)</t>
  </si>
  <si>
    <t>Diabétologie LAMal au sens strict</t>
  </si>
  <si>
    <t>Diabétologie CTM</t>
  </si>
  <si>
    <t>Diabétologie Autopayeurs (y c. assurance complémentaire)</t>
  </si>
  <si>
    <t>Logopédie LAMal au sens strict</t>
  </si>
  <si>
    <t>Logopédie CTM</t>
  </si>
  <si>
    <t>Logopédie Autopayeurs (y c. assurance complémentaire)</t>
  </si>
  <si>
    <t>FR</t>
  </si>
  <si>
    <t>PARA</t>
  </si>
  <si>
    <t>Weitere, betriebsindiv. amb. Tarife</t>
  </si>
  <si>
    <t>NAME_IT</t>
  </si>
  <si>
    <t>Tariffa staz. solo LAMal Cure acute</t>
  </si>
  <si>
    <t>Tariffa staz. LAMal Ass. Complementare (AC)</t>
  </si>
  <si>
    <t>Tariffa staz. solo CTM di cure acute</t>
  </si>
  <si>
    <t>Tariffa staz. CTM Ass. Complementare (AC) Cure acute</t>
  </si>
  <si>
    <t>Altre tariffe ospedaliere</t>
  </si>
  <si>
    <t>Altre tariffe ospedaliere Ass. Complementare (AC)</t>
  </si>
  <si>
    <t>Altri garanti Cure acute</t>
  </si>
  <si>
    <t>Casi solo staz. LAMal
riab.</t>
  </si>
  <si>
    <t>Tariffa staz. LAMal AC
riab.</t>
  </si>
  <si>
    <t>Tariffa staz. CTM 
riab.</t>
  </si>
  <si>
    <t>Tariffa staz. CTM AC
riab.</t>
  </si>
  <si>
    <t>Altri pazienti che pagano di tasca propria
riab.</t>
  </si>
  <si>
    <t>Casi solo staz. LAMal
riab. Precoce</t>
  </si>
  <si>
    <t>Tariffa staz. LAMal AC
riab. Precoce</t>
  </si>
  <si>
    <t>Tariffa staz. CTM 
riab. Precoce</t>
  </si>
  <si>
    <t>Tariffa staz. CTM AC
riab. Precoce</t>
  </si>
  <si>
    <t>Altri pazienti che pagano di tasca propria
riab. Precoce</t>
  </si>
  <si>
    <t>Casi solo staz. LAMal
paraplegiologia</t>
  </si>
  <si>
    <t>Tariffa staz. LAMal AC
paraplegiologia</t>
  </si>
  <si>
    <t>Tariffa staz. CTM 
paraplegiologia</t>
  </si>
  <si>
    <t>Tariffa staz. CTM AC
paraplegiologia</t>
  </si>
  <si>
    <t>Altri pazienti che pagano di tasca propria
paraplegiologia</t>
  </si>
  <si>
    <t>Altre tariffe
stazionarie</t>
  </si>
  <si>
    <t>Altre tariffe
stazionarie AC</t>
  </si>
  <si>
    <t xml:space="preserve">Casi solo staz. LAMal
psich. </t>
  </si>
  <si>
    <t>Tariffa staz. LAMal AC
psich.</t>
  </si>
  <si>
    <t>Tariffa staz. CTM 
psich.</t>
  </si>
  <si>
    <t xml:space="preserve">Tariffa staz. CTM AC
psich. </t>
  </si>
  <si>
    <t>Altri pazienti che pagano di tasca propria
psich.</t>
  </si>
  <si>
    <t>Lungodegenti geriatria
stazionari</t>
  </si>
  <si>
    <t>Altre tariffe (ad es. SVK)
stazionarie</t>
  </si>
  <si>
    <t>Ospedali di giorno psichiatria</t>
  </si>
  <si>
    <t>Ospedali di giorno psico-geriatria</t>
  </si>
  <si>
    <t>Ospedali di giorno trattamenti  alcol</t>
  </si>
  <si>
    <t>Ospedali di giorno trattamenti dipendenze</t>
  </si>
  <si>
    <t>Ospedali di giorno psichiatria infantile e adolescenziale</t>
  </si>
  <si>
    <t>Clinica di giorno acuta psichiatria</t>
  </si>
  <si>
    <t>Ospedali di notte psichiatria</t>
  </si>
  <si>
    <t>Altri ospedali di giorno</t>
  </si>
  <si>
    <t>Ospedali di giorno riab. LAMal</t>
  </si>
  <si>
    <t>Ospedali di giorno riab. CTM</t>
  </si>
  <si>
    <t>Ospedali di giorno riab. autopaganti</t>
  </si>
  <si>
    <t>Formazione + ricerca universitarie</t>
  </si>
  <si>
    <t>PEG</t>
  </si>
  <si>
    <t>Altri mandati di terzi</t>
  </si>
  <si>
    <t>TARMED solo LAMal</t>
  </si>
  <si>
    <t>TARMED solo CTM</t>
  </si>
  <si>
    <t>TARMED Autopaganti (incl. complementare)</t>
  </si>
  <si>
    <t>Tariffa laboratorio</t>
  </si>
  <si>
    <t>Fisio solo LAMal</t>
  </si>
  <si>
    <t>Fisio solo CTM</t>
  </si>
  <si>
    <t>Fisio Autopaganti (incl. complementare)</t>
  </si>
  <si>
    <t>Ergoterapia solo LAMal</t>
  </si>
  <si>
    <t>Ergoterapia solo CTM</t>
  </si>
  <si>
    <t>Ergoterapia Autopaganti (incl. complementare)</t>
  </si>
  <si>
    <t>Consulenza alimentare solo LAMal</t>
  </si>
  <si>
    <t>Consulenza alimentare solo CTM</t>
  </si>
  <si>
    <t>Consulenza alimentare Autopaganti (incl. complementare)</t>
  </si>
  <si>
    <t>Consulenza diabetologica solo LAMal</t>
  </si>
  <si>
    <t>Consulenza diabetologica solo CTM</t>
  </si>
  <si>
    <t>Consulenza diabetologica Autopaganti (incl. complementare)</t>
  </si>
  <si>
    <t>Logopedia solo LAMal</t>
  </si>
  <si>
    <t>Logopedia solo CTM</t>
  </si>
  <si>
    <t>Logopedia Autopaganti (incl. complementare)</t>
  </si>
  <si>
    <t>Tariffa dialisi</t>
  </si>
  <si>
    <t>Neuropsicologia solo LAMal</t>
  </si>
  <si>
    <t>Neuropsicologia CTM</t>
  </si>
  <si>
    <t>Neuropsicologia Autopaganti (incl. complementare)</t>
  </si>
  <si>
    <t>Psicoterapia psicologica solo LAMal</t>
  </si>
  <si>
    <t>Psicoterapia psicologica CTM</t>
  </si>
  <si>
    <t>Psicoterapia psicologica Autopaganti (incl. complementare)</t>
  </si>
  <si>
    <t>Ulteriori tariffe ambul. indiv. dell'azienda</t>
  </si>
  <si>
    <t>Materiale, medicamenti, sangue</t>
  </si>
  <si>
    <t>Prestazioni di terzi</t>
  </si>
  <si>
    <t>Amministrazione pazienti ambulatoriale</t>
  </si>
  <si>
    <r>
      <t>3,</t>
    </r>
    <r>
      <rPr>
        <sz val="11"/>
        <color theme="1"/>
        <rFont val="Arial"/>
        <family val="2"/>
      </rPr>
      <t>4</t>
    </r>
  </si>
  <si>
    <r>
      <t>5,</t>
    </r>
    <r>
      <rPr>
        <sz val="11"/>
        <color theme="1"/>
        <rFont val="Arial"/>
        <family val="2"/>
      </rPr>
      <t>6</t>
    </r>
  </si>
  <si>
    <t>Rein KVG 
TARDOC</t>
  </si>
  <si>
    <t>Rein KVG 
Ambulante Pauschalen</t>
  </si>
  <si>
    <t>MTK 
TARDOC</t>
  </si>
  <si>
    <t xml:space="preserve">MTK 
Ambulante Pauschalen </t>
  </si>
  <si>
    <t>Selbstzahler (inkl. ZV)  TARDOC</t>
  </si>
  <si>
    <t xml:space="preserve">Selbstzahler (inkl. ZV) 
Ambulante Pauschalen </t>
  </si>
  <si>
    <r>
      <t>380,381,382,402,</t>
    </r>
    <r>
      <rPr>
        <sz val="11"/>
        <color rgb="FFFF0000"/>
        <rFont val="Arial"/>
        <family val="2"/>
      </rPr>
      <t>301,302,303</t>
    </r>
  </si>
  <si>
    <t>FOR</t>
  </si>
  <si>
    <t>TARDOC LAMal au sens strict</t>
  </si>
  <si>
    <t>Forfaits ambulatoires LAMal au sens strict</t>
  </si>
  <si>
    <t>TARDOC CTM</t>
  </si>
  <si>
    <t>Forfaits ambulatoires CTM</t>
  </si>
  <si>
    <t>TARDOC Autopayeurs (y c. assurance complémentaire)</t>
  </si>
  <si>
    <t>Forfaits ambulatoires Autopayeurs (y c. assurance complémentaire)</t>
  </si>
  <si>
    <t>TARDOC solo LAMal</t>
  </si>
  <si>
    <t>Forfettari ambulatoriali solo LAMal</t>
  </si>
  <si>
    <t>TARDOC solo CTM</t>
  </si>
  <si>
    <t>Forfettari ambulatoriali  solo CTM</t>
  </si>
  <si>
    <t>TARDOC Autopaganti (incl. complementare)</t>
  </si>
  <si>
    <t>Forfettari ambulatoriali Autopaganti (incl. complementare)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</si>
</sst>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1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  <font>
      <strike/>
      <sz val="11"/>
      <color rgb="FFFF0000"/>
      <name val="Arial"/>
      <family val="2"/>
    </font>
    <font>
      <strike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2" fillId="2" borderId="0" xfId="1" applyNumberFormat="1" applyFont="1" applyFill="1" applyBorder="1" applyAlignment="1" applyProtection="1">
      <alignment horizontal="left" vertical="center" wrapText="1"/>
    </xf>
    <xf numFmtId="3" fontId="2" fillId="2" borderId="0" xfId="1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0" fontId="2" fillId="0" borderId="0" xfId="1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2" xfId="1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0" borderId="2" xfId="1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horizontal="left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8" fillId="5" borderId="3" xfId="0" applyFont="1" applyFill="1" applyBorder="1"/>
    <xf numFmtId="0" fontId="8" fillId="5" borderId="2" xfId="0" applyFont="1" applyFill="1" applyBorder="1"/>
    <xf numFmtId="0" fontId="8" fillId="5" borderId="4" xfId="0" applyFont="1" applyFill="1" applyBorder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6" xfId="0" applyFont="1" applyBorder="1"/>
    <xf numFmtId="0" fontId="11" fillId="0" borderId="0" xfId="0" applyFont="1"/>
    <xf numFmtId="0" fontId="10" fillId="0" borderId="0" xfId="0" applyFont="1"/>
    <xf numFmtId="0" fontId="10" fillId="0" borderId="6" xfId="0" applyFont="1" applyBorder="1"/>
    <xf numFmtId="0" fontId="10" fillId="0" borderId="5" xfId="0" applyFont="1" applyBorder="1" applyAlignment="1">
      <alignment horizontal="right"/>
    </xf>
    <xf numFmtId="0" fontId="0" fillId="0" borderId="6" xfId="0" applyBorder="1"/>
    <xf numFmtId="0" fontId="12" fillId="0" borderId="0" xfId="0" applyFont="1" applyAlignment="1">
      <alignment horizontal="left"/>
    </xf>
    <xf numFmtId="0" fontId="0" fillId="0" borderId="3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4" borderId="5" xfId="0" applyFill="1" applyBorder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0" borderId="5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7" xfId="0" applyBorder="1"/>
    <xf numFmtId="0" fontId="11" fillId="0" borderId="5" xfId="0" applyFont="1" applyBorder="1" applyAlignment="1">
      <alignment horizontal="right"/>
    </xf>
    <xf numFmtId="0" fontId="0" fillId="0" borderId="11" xfId="0" applyBorder="1" applyAlignment="1">
      <alignment horizontal="right"/>
    </xf>
    <xf numFmtId="0" fontId="10" fillId="0" borderId="0" xfId="0" applyFont="1" applyAlignment="1">
      <alignment horizontal="right"/>
    </xf>
  </cellXfs>
  <cellStyles count="7">
    <cellStyle name="Milliers" xfId="1" builtinId="3"/>
    <cellStyle name="Milliers 2" xfId="4" xr:uid="{F2E31E45-3029-4C59-BA3C-71947DF4FCD2}"/>
    <cellStyle name="Milliers 3" xfId="6" xr:uid="{7B9CCDE2-1604-40B5-A725-9435AEF90D83}"/>
    <cellStyle name="Normal" xfId="0" builtinId="0"/>
    <cellStyle name="Normal 2" xfId="5" xr:uid="{6D08E9D4-E401-45A8-8551-0F5AF5F17DEB}"/>
    <cellStyle name="Normal 4" xfId="3" xr:uid="{2AD95639-037F-44EF-9284-489B6EA3DF14}"/>
    <cellStyle name="Standard 2" xfId="2" xr:uid="{81FC38FD-C2EC-4718-AA4F-AFD7849421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AB4E-4DD6-4E90-BD14-7C99BA550410}">
  <dimension ref="A1:K71"/>
  <sheetViews>
    <sheetView zoomScale="115" zoomScaleNormal="115" workbookViewId="0">
      <pane ySplit="1" topLeftCell="A2" activePane="bottomLeft" state="frozen"/>
      <selection activeCell="B1" sqref="B1"/>
      <selection pane="bottomLeft" activeCell="F22" sqref="F22"/>
    </sheetView>
  </sheetViews>
  <sheetFormatPr baseColWidth="10" defaultColWidth="11" defaultRowHeight="12" customHeight="1" x14ac:dyDescent="0.2"/>
  <cols>
    <col min="1" max="2" width="14.875" style="3" customWidth="1"/>
    <col min="3" max="3" width="34.5" style="2" customWidth="1"/>
    <col min="4" max="4" width="14.5" style="5" bestFit="1" customWidth="1"/>
    <col min="5" max="16384" width="11" style="3"/>
  </cols>
  <sheetData>
    <row r="1" spans="1:11" ht="12" customHeight="1" x14ac:dyDescent="0.2">
      <c r="A1" s="2" t="s">
        <v>143</v>
      </c>
      <c r="B1" s="2" t="s">
        <v>141</v>
      </c>
      <c r="C1" s="2" t="s">
        <v>75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11" ht="12" customHeight="1" x14ac:dyDescent="0.2">
      <c r="A2" s="3" t="s">
        <v>76</v>
      </c>
      <c r="B2" s="3" t="s">
        <v>76</v>
      </c>
      <c r="C2" s="12" t="s">
        <v>57</v>
      </c>
      <c r="D2" s="13">
        <v>1</v>
      </c>
      <c r="E2" s="4" t="s">
        <v>7</v>
      </c>
      <c r="F2" s="4">
        <v>1</v>
      </c>
      <c r="G2" s="4" t="s">
        <v>8</v>
      </c>
      <c r="H2" s="4">
        <v>1</v>
      </c>
      <c r="I2" s="4">
        <v>1</v>
      </c>
    </row>
    <row r="3" spans="1:11" ht="12" customHeight="1" x14ac:dyDescent="0.2">
      <c r="A3" s="3" t="s">
        <v>77</v>
      </c>
      <c r="B3" s="3" t="s">
        <v>77</v>
      </c>
      <c r="C3" s="12" t="s">
        <v>58</v>
      </c>
      <c r="D3" s="13">
        <v>1</v>
      </c>
      <c r="E3" s="4" t="s">
        <v>7</v>
      </c>
      <c r="F3" s="4">
        <v>1</v>
      </c>
      <c r="G3" s="4" t="s">
        <v>8</v>
      </c>
      <c r="H3" s="4" t="s">
        <v>9</v>
      </c>
      <c r="I3" s="4">
        <v>1</v>
      </c>
    </row>
    <row r="4" spans="1:11" ht="12" customHeight="1" x14ac:dyDescent="0.2">
      <c r="A4" s="3" t="s">
        <v>139</v>
      </c>
      <c r="B4" s="3" t="s">
        <v>139</v>
      </c>
      <c r="C4" s="12"/>
      <c r="D4" s="13"/>
      <c r="E4" s="4"/>
      <c r="F4" s="4"/>
      <c r="G4" s="4"/>
      <c r="H4" s="4"/>
      <c r="I4" s="4"/>
    </row>
    <row r="5" spans="1:11" ht="12" customHeight="1" x14ac:dyDescent="0.2">
      <c r="A5" s="3" t="s">
        <v>78</v>
      </c>
      <c r="B5" s="3" t="s">
        <v>78</v>
      </c>
      <c r="C5" s="12" t="s">
        <v>53</v>
      </c>
      <c r="D5" s="13">
        <v>1</v>
      </c>
      <c r="E5" s="4" t="s">
        <v>7</v>
      </c>
      <c r="F5" s="4">
        <v>1</v>
      </c>
      <c r="G5" s="4"/>
      <c r="H5" s="4">
        <v>1</v>
      </c>
      <c r="I5" s="4" t="s">
        <v>10</v>
      </c>
      <c r="K5" s="5"/>
    </row>
    <row r="6" spans="1:11" ht="12" customHeight="1" x14ac:dyDescent="0.2">
      <c r="A6" s="3" t="s">
        <v>79</v>
      </c>
      <c r="B6" s="3" t="s">
        <v>79</v>
      </c>
      <c r="C6" s="12" t="s">
        <v>54</v>
      </c>
      <c r="D6" s="13">
        <v>1</v>
      </c>
      <c r="E6" s="4" t="s">
        <v>7</v>
      </c>
      <c r="F6" s="4">
        <v>1</v>
      </c>
      <c r="G6" s="4"/>
      <c r="H6" s="4" t="s">
        <v>9</v>
      </c>
      <c r="I6" s="4" t="s">
        <v>10</v>
      </c>
    </row>
    <row r="7" spans="1:11" ht="12" customHeight="1" x14ac:dyDescent="0.2">
      <c r="A7" s="3" t="s">
        <v>140</v>
      </c>
      <c r="B7" s="3" t="s">
        <v>140</v>
      </c>
      <c r="C7" s="12"/>
      <c r="D7" s="13"/>
      <c r="E7" s="4"/>
      <c r="F7" s="4"/>
      <c r="G7" s="4"/>
      <c r="H7" s="4"/>
      <c r="I7" s="4"/>
    </row>
    <row r="8" spans="1:11" ht="12" customHeight="1" x14ac:dyDescent="0.2">
      <c r="B8" s="3" t="s">
        <v>80</v>
      </c>
      <c r="C8" s="12" t="s">
        <v>11</v>
      </c>
      <c r="D8" s="20">
        <v>1</v>
      </c>
      <c r="E8" s="19" t="s">
        <v>7</v>
      </c>
      <c r="F8" s="19">
        <v>2</v>
      </c>
      <c r="G8" s="19"/>
      <c r="H8" s="19">
        <v>1</v>
      </c>
      <c r="I8" s="19" t="s">
        <v>145</v>
      </c>
    </row>
    <row r="9" spans="1:11" ht="12" customHeight="1" x14ac:dyDescent="0.2">
      <c r="B9" s="3" t="s">
        <v>81</v>
      </c>
      <c r="C9" s="12" t="s">
        <v>12</v>
      </c>
      <c r="D9" s="20">
        <v>1</v>
      </c>
      <c r="E9" s="19" t="s">
        <v>7</v>
      </c>
      <c r="F9" s="19">
        <v>2</v>
      </c>
      <c r="G9" s="19"/>
      <c r="H9" s="19" t="s">
        <v>9</v>
      </c>
      <c r="I9" s="19" t="s">
        <v>145</v>
      </c>
    </row>
    <row r="10" spans="1:11" ht="12" customHeight="1" x14ac:dyDescent="0.2">
      <c r="A10" s="3" t="s">
        <v>80</v>
      </c>
      <c r="B10" s="3" t="s">
        <v>82</v>
      </c>
      <c r="C10" s="12" t="s">
        <v>55</v>
      </c>
      <c r="D10" s="13">
        <v>1</v>
      </c>
      <c r="E10" s="4" t="s">
        <v>7</v>
      </c>
      <c r="F10" s="19" t="s">
        <v>144</v>
      </c>
      <c r="G10" s="4"/>
      <c r="H10" s="4" t="s">
        <v>13</v>
      </c>
      <c r="I10" s="4" t="s">
        <v>14</v>
      </c>
    </row>
    <row r="11" spans="1:11" ht="12" customHeight="1" x14ac:dyDescent="0.2">
      <c r="B11" s="3" t="s">
        <v>146</v>
      </c>
      <c r="C11" s="12"/>
      <c r="D11" s="13"/>
      <c r="E11" s="4"/>
      <c r="F11" s="4"/>
      <c r="G11" s="4"/>
      <c r="H11" s="4"/>
      <c r="I11" s="4"/>
    </row>
    <row r="12" spans="1:11" ht="12" customHeight="1" x14ac:dyDescent="0.2">
      <c r="A12" s="15" t="s">
        <v>81</v>
      </c>
      <c r="B12" s="15" t="s">
        <v>83</v>
      </c>
      <c r="C12" s="16" t="s">
        <v>56</v>
      </c>
      <c r="D12" s="17">
        <v>1</v>
      </c>
      <c r="E12" s="18" t="s">
        <v>7</v>
      </c>
      <c r="F12" s="18">
        <v>3</v>
      </c>
      <c r="G12" s="18"/>
      <c r="H12" s="18">
        <v>1</v>
      </c>
      <c r="I12" s="18">
        <v>1</v>
      </c>
    </row>
    <row r="13" spans="1:11" ht="12" customHeight="1" x14ac:dyDescent="0.2">
      <c r="A13" s="3" t="s">
        <v>82</v>
      </c>
      <c r="B13" s="3" t="s">
        <v>84</v>
      </c>
      <c r="C13" s="12" t="s">
        <v>15</v>
      </c>
      <c r="D13" s="13">
        <v>1</v>
      </c>
      <c r="E13" s="4" t="s">
        <v>7</v>
      </c>
      <c r="F13" s="4">
        <v>3</v>
      </c>
      <c r="G13" s="4"/>
      <c r="H13" s="4" t="s">
        <v>9</v>
      </c>
      <c r="I13" s="4">
        <v>1</v>
      </c>
    </row>
    <row r="14" spans="1:11" ht="12" customHeight="1" x14ac:dyDescent="0.2">
      <c r="A14" s="3" t="s">
        <v>83</v>
      </c>
      <c r="B14" s="3" t="s">
        <v>85</v>
      </c>
      <c r="C14" s="12" t="s">
        <v>16</v>
      </c>
      <c r="D14" s="13">
        <v>1</v>
      </c>
      <c r="E14" s="4" t="s">
        <v>7</v>
      </c>
      <c r="F14" s="4">
        <v>3</v>
      </c>
      <c r="G14" s="4"/>
      <c r="H14" s="4">
        <v>1</v>
      </c>
      <c r="I14" s="4" t="s">
        <v>10</v>
      </c>
    </row>
    <row r="15" spans="1:11" ht="12" customHeight="1" x14ac:dyDescent="0.2">
      <c r="A15" s="3" t="s">
        <v>84</v>
      </c>
      <c r="B15" s="3" t="s">
        <v>86</v>
      </c>
      <c r="C15" s="12" t="s">
        <v>17</v>
      </c>
      <c r="D15" s="13">
        <v>1</v>
      </c>
      <c r="E15" s="4" t="s">
        <v>7</v>
      </c>
      <c r="F15" s="4">
        <v>3</v>
      </c>
      <c r="G15" s="4"/>
      <c r="H15" s="4" t="s">
        <v>9</v>
      </c>
      <c r="I15" s="4" t="s">
        <v>10</v>
      </c>
    </row>
    <row r="16" spans="1:11" ht="12" customHeight="1" x14ac:dyDescent="0.2">
      <c r="A16" s="3" t="s">
        <v>85</v>
      </c>
      <c r="B16" s="3" t="s">
        <v>87</v>
      </c>
      <c r="C16" s="12" t="s">
        <v>18</v>
      </c>
      <c r="D16" s="13">
        <v>1</v>
      </c>
      <c r="E16" s="4" t="s">
        <v>7</v>
      </c>
      <c r="F16" s="4">
        <v>3</v>
      </c>
      <c r="G16" s="4"/>
      <c r="H16" s="4" t="s">
        <v>13</v>
      </c>
      <c r="I16" s="4" t="s">
        <v>14</v>
      </c>
    </row>
    <row r="17" spans="1:9" ht="12" customHeight="1" x14ac:dyDescent="0.2">
      <c r="B17" s="3" t="s">
        <v>147</v>
      </c>
      <c r="C17" s="12"/>
      <c r="D17" s="13"/>
      <c r="E17" s="4"/>
      <c r="F17" s="4"/>
      <c r="G17" s="4"/>
      <c r="H17" s="4"/>
      <c r="I17" s="4"/>
    </row>
    <row r="18" spans="1:9" ht="12" customHeight="1" x14ac:dyDescent="0.2">
      <c r="A18" s="15" t="s">
        <v>86</v>
      </c>
      <c r="B18" s="15"/>
      <c r="C18" s="16" t="s">
        <v>11</v>
      </c>
      <c r="D18" s="17">
        <v>1</v>
      </c>
      <c r="E18" s="18" t="s">
        <v>7</v>
      </c>
      <c r="F18" s="18">
        <v>4</v>
      </c>
      <c r="G18" s="18"/>
      <c r="H18" s="18">
        <v>1</v>
      </c>
      <c r="I18" s="18" t="s">
        <v>13</v>
      </c>
    </row>
    <row r="19" spans="1:9" ht="12" customHeight="1" x14ac:dyDescent="0.2">
      <c r="A19" s="14" t="s">
        <v>87</v>
      </c>
      <c r="B19" s="14"/>
      <c r="C19" s="12" t="s">
        <v>12</v>
      </c>
      <c r="D19" s="13">
        <v>1</v>
      </c>
      <c r="E19" s="4" t="s">
        <v>7</v>
      </c>
      <c r="F19" s="4">
        <v>4</v>
      </c>
      <c r="G19" s="4"/>
      <c r="H19" s="4" t="s">
        <v>9</v>
      </c>
      <c r="I19" s="4" t="s">
        <v>13</v>
      </c>
    </row>
    <row r="20" spans="1:9" ht="12" customHeight="1" x14ac:dyDescent="0.2">
      <c r="A20" s="3" t="s">
        <v>88</v>
      </c>
      <c r="C20" s="16" t="s">
        <v>19</v>
      </c>
      <c r="D20" s="17">
        <v>1</v>
      </c>
      <c r="E20" s="18" t="s">
        <v>7</v>
      </c>
      <c r="F20" s="18">
        <v>5</v>
      </c>
      <c r="G20" s="18"/>
      <c r="H20" s="18">
        <v>1</v>
      </c>
      <c r="I20" s="18">
        <v>1</v>
      </c>
    </row>
    <row r="21" spans="1:9" ht="12" customHeight="1" x14ac:dyDescent="0.2">
      <c r="A21" s="3" t="s">
        <v>89</v>
      </c>
      <c r="C21" s="12" t="s">
        <v>20</v>
      </c>
      <c r="D21" s="13">
        <v>1</v>
      </c>
      <c r="E21" s="4" t="s">
        <v>7</v>
      </c>
      <c r="F21" s="4">
        <v>5</v>
      </c>
      <c r="G21" s="4"/>
      <c r="H21" s="4" t="s">
        <v>9</v>
      </c>
      <c r="I21" s="4">
        <v>1</v>
      </c>
    </row>
    <row r="22" spans="1:9" ht="12" customHeight="1" x14ac:dyDescent="0.2">
      <c r="A22" s="3" t="s">
        <v>90</v>
      </c>
      <c r="C22" s="12" t="s">
        <v>21</v>
      </c>
      <c r="D22" s="13">
        <v>1</v>
      </c>
      <c r="E22" s="4" t="s">
        <v>7</v>
      </c>
      <c r="F22" s="4">
        <v>5</v>
      </c>
      <c r="G22" s="4"/>
      <c r="H22" s="4">
        <v>1</v>
      </c>
      <c r="I22" s="4" t="s">
        <v>10</v>
      </c>
    </row>
    <row r="23" spans="1:9" ht="12" customHeight="1" x14ac:dyDescent="0.2">
      <c r="A23" s="3" t="s">
        <v>91</v>
      </c>
      <c r="C23" s="12" t="s">
        <v>22</v>
      </c>
      <c r="D23" s="13">
        <v>1</v>
      </c>
      <c r="E23" s="4" t="s">
        <v>7</v>
      </c>
      <c r="F23" s="4">
        <v>5</v>
      </c>
      <c r="G23" s="4"/>
      <c r="H23" s="4" t="s">
        <v>9</v>
      </c>
      <c r="I23" s="4" t="s">
        <v>10</v>
      </c>
    </row>
    <row r="24" spans="1:9" ht="12" customHeight="1" x14ac:dyDescent="0.2">
      <c r="A24" s="3" t="s">
        <v>92</v>
      </c>
      <c r="C24" s="12" t="s">
        <v>23</v>
      </c>
      <c r="D24" s="13">
        <v>1</v>
      </c>
      <c r="E24" s="4" t="s">
        <v>7</v>
      </c>
      <c r="F24" s="4">
        <v>5</v>
      </c>
      <c r="G24" s="4"/>
      <c r="H24" s="4" t="s">
        <v>13</v>
      </c>
      <c r="I24" s="4" t="s">
        <v>14</v>
      </c>
    </row>
    <row r="25" spans="1:9" ht="12" customHeight="1" x14ac:dyDescent="0.2">
      <c r="B25" s="3" t="s">
        <v>148</v>
      </c>
      <c r="C25" s="12"/>
      <c r="D25" s="13"/>
      <c r="E25" s="4"/>
      <c r="F25" s="4"/>
      <c r="G25" s="4"/>
      <c r="H25" s="4"/>
      <c r="I25" s="4"/>
    </row>
    <row r="26" spans="1:9" ht="12" customHeight="1" x14ac:dyDescent="0.2">
      <c r="A26" s="15" t="s">
        <v>93</v>
      </c>
      <c r="B26" s="15"/>
      <c r="C26" s="16" t="s">
        <v>11</v>
      </c>
      <c r="D26" s="17">
        <v>1</v>
      </c>
      <c r="E26" s="18" t="s">
        <v>7</v>
      </c>
      <c r="F26" s="18">
        <v>6</v>
      </c>
      <c r="G26" s="18"/>
      <c r="H26" s="18">
        <v>1</v>
      </c>
      <c r="I26" s="18" t="s">
        <v>13</v>
      </c>
    </row>
    <row r="27" spans="1:9" ht="12" customHeight="1" x14ac:dyDescent="0.2">
      <c r="A27" s="3" t="s">
        <v>94</v>
      </c>
      <c r="C27" s="12" t="s">
        <v>12</v>
      </c>
      <c r="D27" s="13">
        <v>1</v>
      </c>
      <c r="E27" s="4" t="s">
        <v>7</v>
      </c>
      <c r="F27" s="4">
        <v>6</v>
      </c>
      <c r="G27" s="4"/>
      <c r="H27" s="4" t="s">
        <v>9</v>
      </c>
      <c r="I27" s="4" t="s">
        <v>13</v>
      </c>
    </row>
    <row r="28" spans="1:9" ht="12" customHeight="1" x14ac:dyDescent="0.2">
      <c r="C28" s="12"/>
      <c r="D28" s="13"/>
      <c r="E28" s="4"/>
      <c r="F28" s="4"/>
      <c r="G28" s="4"/>
      <c r="H28" s="4"/>
      <c r="I28" s="4"/>
    </row>
    <row r="29" spans="1:9" ht="12" customHeight="1" x14ac:dyDescent="0.2">
      <c r="A29" s="15" t="s">
        <v>95</v>
      </c>
      <c r="B29" s="15"/>
      <c r="C29" s="21" t="s">
        <v>73</v>
      </c>
      <c r="D29" s="17" t="s">
        <v>138</v>
      </c>
      <c r="E29" s="17" t="s">
        <v>7</v>
      </c>
      <c r="F29" s="17">
        <v>7</v>
      </c>
      <c r="G29" s="17"/>
      <c r="H29" s="17" t="s">
        <v>13</v>
      </c>
      <c r="I29" s="17" t="s">
        <v>59</v>
      </c>
    </row>
    <row r="30" spans="1:9" ht="12" customHeight="1" x14ac:dyDescent="0.2">
      <c r="A30" s="6" t="s">
        <v>96</v>
      </c>
      <c r="B30" s="6"/>
      <c r="C30" s="8" t="s">
        <v>50</v>
      </c>
      <c r="D30" s="7">
        <v>102</v>
      </c>
      <c r="E30" s="4"/>
      <c r="F30" s="4"/>
      <c r="G30" s="4"/>
      <c r="H30" s="4"/>
      <c r="I30" s="4"/>
    </row>
    <row r="31" spans="1:9" ht="12" customHeight="1" x14ac:dyDescent="0.2">
      <c r="A31" s="6" t="s">
        <v>97</v>
      </c>
      <c r="B31" s="6"/>
      <c r="C31" s="8" t="s">
        <v>24</v>
      </c>
      <c r="D31" s="7">
        <v>201</v>
      </c>
      <c r="E31" s="4"/>
      <c r="F31" s="4"/>
      <c r="G31" s="4"/>
      <c r="H31" s="4"/>
      <c r="I31" s="4"/>
    </row>
    <row r="32" spans="1:9" ht="12" customHeight="1" x14ac:dyDescent="0.2">
      <c r="A32" s="6" t="s">
        <v>98</v>
      </c>
      <c r="B32" s="6"/>
      <c r="C32" s="8" t="s">
        <v>25</v>
      </c>
      <c r="D32" s="7">
        <v>202</v>
      </c>
      <c r="E32" s="4"/>
      <c r="F32" s="4"/>
      <c r="G32" s="4"/>
      <c r="H32" s="4"/>
      <c r="I32" s="4"/>
    </row>
    <row r="33" spans="1:9" ht="12" customHeight="1" x14ac:dyDescent="0.2">
      <c r="A33" s="6" t="s">
        <v>99</v>
      </c>
      <c r="B33" s="6"/>
      <c r="C33" s="8" t="s">
        <v>26</v>
      </c>
      <c r="D33" s="7">
        <v>203</v>
      </c>
      <c r="E33" s="4"/>
      <c r="F33" s="4"/>
      <c r="G33" s="4"/>
      <c r="H33" s="4"/>
      <c r="I33" s="4"/>
    </row>
    <row r="34" spans="1:9" ht="12" customHeight="1" x14ac:dyDescent="0.2">
      <c r="A34" s="6" t="s">
        <v>100</v>
      </c>
      <c r="B34" s="6"/>
      <c r="C34" s="8" t="s">
        <v>27</v>
      </c>
      <c r="D34" s="7">
        <v>204</v>
      </c>
      <c r="E34" s="4"/>
      <c r="F34" s="4"/>
      <c r="G34" s="4"/>
      <c r="H34" s="4"/>
      <c r="I34" s="4"/>
    </row>
    <row r="35" spans="1:9" ht="12" customHeight="1" x14ac:dyDescent="0.2">
      <c r="A35" s="6" t="s">
        <v>101</v>
      </c>
      <c r="B35" s="6"/>
      <c r="C35" s="8" t="s">
        <v>28</v>
      </c>
      <c r="D35" s="7">
        <v>205</v>
      </c>
      <c r="E35" s="4"/>
      <c r="F35" s="4"/>
      <c r="G35" s="4"/>
      <c r="H35" s="4"/>
      <c r="I35" s="4"/>
    </row>
    <row r="36" spans="1:9" ht="12" customHeight="1" x14ac:dyDescent="0.2">
      <c r="A36" s="6" t="s">
        <v>102</v>
      </c>
      <c r="B36" s="6"/>
      <c r="C36" s="8" t="s">
        <v>29</v>
      </c>
      <c r="D36" s="7">
        <v>206</v>
      </c>
      <c r="E36" s="4"/>
      <c r="F36" s="4"/>
      <c r="G36" s="4"/>
      <c r="H36" s="4"/>
      <c r="I36" s="4"/>
    </row>
    <row r="37" spans="1:9" ht="12" customHeight="1" x14ac:dyDescent="0.2">
      <c r="A37" s="6" t="s">
        <v>103</v>
      </c>
      <c r="B37" s="6"/>
      <c r="C37" s="8" t="s">
        <v>30</v>
      </c>
      <c r="D37" s="7">
        <v>207</v>
      </c>
      <c r="E37" s="4"/>
      <c r="F37" s="4"/>
      <c r="G37" s="4"/>
      <c r="H37" s="4"/>
      <c r="I37" s="4"/>
    </row>
    <row r="38" spans="1:9" ht="12" customHeight="1" x14ac:dyDescent="0.2">
      <c r="A38" s="6" t="s">
        <v>104</v>
      </c>
      <c r="B38" s="6"/>
      <c r="C38" s="8" t="s">
        <v>31</v>
      </c>
      <c r="D38" s="7">
        <v>291</v>
      </c>
      <c r="E38" s="4"/>
      <c r="F38" s="4"/>
      <c r="G38" s="4"/>
      <c r="H38" s="4"/>
      <c r="I38" s="4"/>
    </row>
    <row r="39" spans="1:9" ht="12" customHeight="1" x14ac:dyDescent="0.2">
      <c r="A39" s="6" t="s">
        <v>105</v>
      </c>
      <c r="B39" s="6"/>
      <c r="C39" s="8" t="s">
        <v>31</v>
      </c>
      <c r="D39" s="7">
        <v>292</v>
      </c>
      <c r="E39" s="4"/>
      <c r="F39" s="4"/>
      <c r="G39" s="4"/>
      <c r="H39" s="4"/>
      <c r="I39" s="4"/>
    </row>
    <row r="40" spans="1:9" ht="12" customHeight="1" x14ac:dyDescent="0.2">
      <c r="A40" s="6" t="s">
        <v>106</v>
      </c>
      <c r="B40" s="6"/>
      <c r="C40" s="8" t="s">
        <v>31</v>
      </c>
      <c r="D40" s="7">
        <v>293</v>
      </c>
      <c r="E40" s="4"/>
      <c r="F40" s="4"/>
      <c r="G40" s="4"/>
      <c r="H40" s="4"/>
      <c r="I40" s="4"/>
    </row>
    <row r="41" spans="1:9" ht="12" customHeight="1" x14ac:dyDescent="0.2">
      <c r="A41" s="6" t="s">
        <v>107</v>
      </c>
      <c r="B41" s="6"/>
      <c r="C41" s="8" t="s">
        <v>31</v>
      </c>
      <c r="D41" s="7">
        <v>294</v>
      </c>
      <c r="E41" s="4"/>
      <c r="F41" s="4"/>
      <c r="G41" s="4"/>
      <c r="H41" s="4"/>
      <c r="I41" s="4"/>
    </row>
    <row r="42" spans="1:9" ht="12" customHeight="1" x14ac:dyDescent="0.2">
      <c r="A42" s="6" t="s">
        <v>108</v>
      </c>
      <c r="B42" s="6"/>
      <c r="C42" s="8" t="s">
        <v>32</v>
      </c>
      <c r="D42" s="7" t="s">
        <v>33</v>
      </c>
      <c r="E42" s="4"/>
      <c r="F42" s="4"/>
      <c r="G42" s="4"/>
      <c r="H42" s="4"/>
      <c r="I42" s="4"/>
    </row>
    <row r="43" spans="1:9" ht="12" customHeight="1" x14ac:dyDescent="0.2">
      <c r="A43" s="6" t="s">
        <v>109</v>
      </c>
      <c r="B43" s="6"/>
      <c r="C43" s="8" t="s">
        <v>74</v>
      </c>
      <c r="D43" s="7" t="s">
        <v>34</v>
      </c>
      <c r="E43" s="4"/>
      <c r="F43" s="4"/>
      <c r="G43" s="4"/>
      <c r="H43" s="4"/>
      <c r="I43" s="4"/>
    </row>
    <row r="44" spans="1:9" ht="12" customHeight="1" x14ac:dyDescent="0.2">
      <c r="A44" s="6" t="s">
        <v>110</v>
      </c>
      <c r="B44" s="6"/>
      <c r="C44" s="8" t="s">
        <v>35</v>
      </c>
      <c r="D44" s="7">
        <v>801</v>
      </c>
      <c r="E44" s="4"/>
      <c r="F44" s="4"/>
      <c r="G44" s="4"/>
      <c r="H44" s="4"/>
      <c r="I44" s="4"/>
    </row>
    <row r="45" spans="1:9" ht="12" customHeight="1" x14ac:dyDescent="0.2">
      <c r="A45" s="6" t="s">
        <v>111</v>
      </c>
      <c r="B45" s="6"/>
      <c r="C45" s="8" t="s">
        <v>60</v>
      </c>
      <c r="D45" s="7">
        <v>301</v>
      </c>
      <c r="E45" s="4"/>
      <c r="F45" s="4"/>
      <c r="G45" s="4"/>
      <c r="H45" s="4"/>
      <c r="I45" s="4"/>
    </row>
    <row r="46" spans="1:9" ht="12" customHeight="1" x14ac:dyDescent="0.2">
      <c r="A46" s="6" t="s">
        <v>112</v>
      </c>
      <c r="B46" s="6"/>
      <c r="C46" s="8" t="s">
        <v>61</v>
      </c>
      <c r="D46" s="7">
        <v>302</v>
      </c>
      <c r="E46" s="4"/>
      <c r="F46" s="4"/>
      <c r="G46" s="4"/>
      <c r="H46" s="4"/>
      <c r="I46" s="4"/>
    </row>
    <row r="47" spans="1:9" ht="12" customHeight="1" x14ac:dyDescent="0.2">
      <c r="A47" s="6" t="s">
        <v>113</v>
      </c>
      <c r="B47" s="6"/>
      <c r="C47" s="8" t="s">
        <v>62</v>
      </c>
      <c r="D47" s="7">
        <v>303</v>
      </c>
      <c r="E47" s="4"/>
      <c r="F47" s="4"/>
      <c r="G47" s="4"/>
      <c r="H47" s="4"/>
      <c r="I47" s="4"/>
    </row>
    <row r="48" spans="1:9" ht="12" customHeight="1" x14ac:dyDescent="0.2">
      <c r="A48" s="6" t="s">
        <v>114</v>
      </c>
      <c r="B48" s="6"/>
      <c r="C48" s="9" t="s">
        <v>63</v>
      </c>
      <c r="D48" s="7">
        <v>305</v>
      </c>
      <c r="E48" s="4"/>
      <c r="F48" s="4"/>
      <c r="G48" s="4"/>
      <c r="H48" s="4"/>
      <c r="I48" s="4"/>
    </row>
    <row r="49" spans="1:9" ht="12" customHeight="1" x14ac:dyDescent="0.2">
      <c r="A49" s="6" t="s">
        <v>115</v>
      </c>
      <c r="B49" s="6"/>
      <c r="C49" s="9" t="s">
        <v>64</v>
      </c>
      <c r="D49" s="7">
        <v>306</v>
      </c>
      <c r="E49" s="4"/>
      <c r="F49" s="4"/>
      <c r="G49" s="4"/>
      <c r="H49" s="4"/>
      <c r="I49" s="4"/>
    </row>
    <row r="50" spans="1:9" ht="12" customHeight="1" x14ac:dyDescent="0.2">
      <c r="A50" s="6" t="s">
        <v>116</v>
      </c>
      <c r="B50" s="6"/>
      <c r="C50" s="9" t="s">
        <v>65</v>
      </c>
      <c r="D50" s="7">
        <v>307</v>
      </c>
      <c r="E50" s="4"/>
      <c r="F50" s="4"/>
      <c r="G50" s="4"/>
      <c r="H50" s="4"/>
      <c r="I50" s="4"/>
    </row>
    <row r="51" spans="1:9" ht="12" customHeight="1" x14ac:dyDescent="0.2">
      <c r="A51" s="6" t="s">
        <v>117</v>
      </c>
      <c r="B51" s="6"/>
      <c r="C51" s="9" t="s">
        <v>66</v>
      </c>
      <c r="D51" s="7">
        <v>308</v>
      </c>
      <c r="E51" s="4"/>
      <c r="F51" s="4"/>
      <c r="G51" s="4"/>
      <c r="H51" s="4"/>
      <c r="I51" s="4"/>
    </row>
    <row r="52" spans="1:9" ht="12" customHeight="1" x14ac:dyDescent="0.2">
      <c r="A52" s="6" t="s">
        <v>118</v>
      </c>
      <c r="B52" s="6"/>
      <c r="C52" s="9" t="s">
        <v>67</v>
      </c>
      <c r="D52" s="7">
        <v>309</v>
      </c>
      <c r="E52" s="4"/>
      <c r="F52" s="4"/>
      <c r="G52" s="4"/>
      <c r="H52" s="4"/>
      <c r="I52" s="4"/>
    </row>
    <row r="53" spans="1:9" ht="12" customHeight="1" x14ac:dyDescent="0.2">
      <c r="A53" s="6" t="s">
        <v>119</v>
      </c>
      <c r="B53" s="6"/>
      <c r="C53" s="9" t="s">
        <v>68</v>
      </c>
      <c r="D53" s="7">
        <v>310</v>
      </c>
      <c r="E53" s="4"/>
      <c r="F53" s="4"/>
      <c r="G53" s="4"/>
      <c r="H53" s="4"/>
      <c r="I53" s="4"/>
    </row>
    <row r="54" spans="1:9" ht="12" customHeight="1" x14ac:dyDescent="0.2">
      <c r="A54" s="6" t="s">
        <v>120</v>
      </c>
      <c r="B54" s="6"/>
      <c r="C54" s="9" t="s">
        <v>36</v>
      </c>
      <c r="D54" s="7">
        <v>311</v>
      </c>
      <c r="E54" s="4"/>
      <c r="F54" s="4"/>
      <c r="G54" s="4"/>
      <c r="H54" s="4"/>
      <c r="I54" s="4"/>
    </row>
    <row r="55" spans="1:9" ht="12" customHeight="1" x14ac:dyDescent="0.2">
      <c r="A55" s="6" t="s">
        <v>121</v>
      </c>
      <c r="B55" s="6"/>
      <c r="C55" s="9" t="s">
        <v>37</v>
      </c>
      <c r="D55" s="7">
        <v>312</v>
      </c>
      <c r="E55" s="4"/>
      <c r="F55" s="4"/>
      <c r="G55" s="4"/>
      <c r="H55" s="4"/>
      <c r="I55" s="4"/>
    </row>
    <row r="56" spans="1:9" ht="12" customHeight="1" x14ac:dyDescent="0.2">
      <c r="A56" s="6" t="s">
        <v>122</v>
      </c>
      <c r="B56" s="6"/>
      <c r="C56" s="9" t="s">
        <v>38</v>
      </c>
      <c r="D56" s="7">
        <v>313</v>
      </c>
      <c r="E56" s="4"/>
      <c r="F56" s="4"/>
      <c r="G56" s="4"/>
      <c r="H56" s="4"/>
      <c r="I56" s="4"/>
    </row>
    <row r="57" spans="1:9" ht="12" customHeight="1" x14ac:dyDescent="0.2">
      <c r="A57" s="6" t="s">
        <v>123</v>
      </c>
      <c r="B57" s="6"/>
      <c r="C57" s="9" t="s">
        <v>39</v>
      </c>
      <c r="D57" s="7">
        <v>314</v>
      </c>
      <c r="E57" s="4"/>
      <c r="F57" s="4"/>
      <c r="G57" s="4"/>
      <c r="H57" s="4"/>
      <c r="I57" s="4"/>
    </row>
    <row r="58" spans="1:9" ht="12" customHeight="1" x14ac:dyDescent="0.2">
      <c r="A58" s="6" t="s">
        <v>124</v>
      </c>
      <c r="B58" s="6"/>
      <c r="C58" s="9" t="s">
        <v>40</v>
      </c>
      <c r="D58" s="7">
        <v>315</v>
      </c>
      <c r="E58" s="4"/>
      <c r="F58" s="4"/>
      <c r="G58" s="4"/>
      <c r="H58" s="4"/>
      <c r="I58" s="4"/>
    </row>
    <row r="59" spans="1:9" ht="12" customHeight="1" x14ac:dyDescent="0.2">
      <c r="A59" s="6" t="s">
        <v>125</v>
      </c>
      <c r="B59" s="6"/>
      <c r="C59" s="9" t="s">
        <v>41</v>
      </c>
      <c r="D59" s="7">
        <v>316</v>
      </c>
      <c r="E59" s="4"/>
      <c r="F59" s="4"/>
      <c r="G59" s="4"/>
      <c r="H59" s="4"/>
      <c r="I59" s="4"/>
    </row>
    <row r="60" spans="1:9" ht="12" customHeight="1" x14ac:dyDescent="0.2">
      <c r="A60" s="6" t="s">
        <v>126</v>
      </c>
      <c r="B60" s="6"/>
      <c r="C60" s="9" t="s">
        <v>42</v>
      </c>
      <c r="D60" s="7">
        <v>317</v>
      </c>
      <c r="E60" s="4"/>
      <c r="F60" s="4"/>
      <c r="G60" s="4"/>
      <c r="H60" s="4"/>
      <c r="I60" s="4"/>
    </row>
    <row r="61" spans="1:9" ht="12" customHeight="1" x14ac:dyDescent="0.2">
      <c r="A61" s="6" t="s">
        <v>127</v>
      </c>
      <c r="B61" s="6"/>
      <c r="C61" s="9" t="s">
        <v>43</v>
      </c>
      <c r="D61" s="7">
        <v>318</v>
      </c>
      <c r="E61" s="4"/>
      <c r="F61" s="4"/>
      <c r="G61" s="4"/>
      <c r="H61" s="4"/>
      <c r="I61" s="4"/>
    </row>
    <row r="62" spans="1:9" ht="12" customHeight="1" x14ac:dyDescent="0.2">
      <c r="A62" s="6" t="s">
        <v>128</v>
      </c>
      <c r="B62" s="6"/>
      <c r="C62" s="9" t="s">
        <v>44</v>
      </c>
      <c r="D62" s="7">
        <v>319</v>
      </c>
      <c r="E62" s="4"/>
      <c r="F62" s="4"/>
      <c r="G62" s="4"/>
      <c r="H62" s="4"/>
      <c r="I62" s="4"/>
    </row>
    <row r="63" spans="1:9" ht="12" customHeight="1" x14ac:dyDescent="0.2">
      <c r="A63" s="6" t="s">
        <v>129</v>
      </c>
      <c r="B63" s="6"/>
      <c r="C63" s="9" t="s">
        <v>69</v>
      </c>
      <c r="D63" s="7">
        <v>321</v>
      </c>
      <c r="E63" s="4"/>
      <c r="F63" s="4"/>
      <c r="G63" s="4"/>
      <c r="H63" s="4"/>
      <c r="I63" s="4"/>
    </row>
    <row r="64" spans="1:9" ht="12" customHeight="1" x14ac:dyDescent="0.2">
      <c r="A64" s="6" t="s">
        <v>130</v>
      </c>
      <c r="B64" s="6"/>
      <c r="C64" s="9" t="s">
        <v>45</v>
      </c>
      <c r="D64" s="7">
        <v>322</v>
      </c>
      <c r="E64" s="4"/>
      <c r="F64" s="4"/>
      <c r="G64" s="4"/>
      <c r="H64" s="4"/>
      <c r="I64" s="4"/>
    </row>
    <row r="65" spans="1:9" ht="12" customHeight="1" x14ac:dyDescent="0.2">
      <c r="A65" s="6" t="s">
        <v>131</v>
      </c>
      <c r="B65" s="6"/>
      <c r="C65" s="9" t="s">
        <v>70</v>
      </c>
      <c r="D65" s="7">
        <v>323</v>
      </c>
      <c r="E65" s="4"/>
      <c r="F65" s="4"/>
      <c r="G65" s="4"/>
      <c r="H65" s="4"/>
      <c r="I65" s="4"/>
    </row>
    <row r="66" spans="1:9" ht="12" customHeight="1" x14ac:dyDescent="0.2">
      <c r="A66" s="6" t="s">
        <v>132</v>
      </c>
      <c r="B66" s="6"/>
      <c r="C66" s="9" t="s">
        <v>71</v>
      </c>
      <c r="D66" s="7">
        <v>324</v>
      </c>
      <c r="E66" s="4"/>
      <c r="F66" s="4"/>
      <c r="G66" s="4"/>
      <c r="H66" s="4"/>
      <c r="I66" s="4"/>
    </row>
    <row r="67" spans="1:9" ht="12" customHeight="1" x14ac:dyDescent="0.2">
      <c r="A67" s="6" t="s">
        <v>133</v>
      </c>
      <c r="B67" s="6"/>
      <c r="C67" s="9" t="s">
        <v>72</v>
      </c>
      <c r="D67" s="7">
        <v>325</v>
      </c>
      <c r="E67" s="4"/>
      <c r="F67" s="4"/>
      <c r="G67" s="4"/>
      <c r="H67" s="4"/>
      <c r="I67" s="4"/>
    </row>
    <row r="68" spans="1:9" ht="12" customHeight="1" x14ac:dyDescent="0.2">
      <c r="A68" s="6" t="s">
        <v>134</v>
      </c>
      <c r="B68" s="6"/>
      <c r="C68" s="9" t="s">
        <v>52</v>
      </c>
      <c r="D68" s="7">
        <v>326</v>
      </c>
      <c r="E68" s="4"/>
      <c r="F68" s="4"/>
      <c r="G68" s="4"/>
      <c r="H68" s="4"/>
      <c r="I68" s="4"/>
    </row>
    <row r="69" spans="1:9" ht="12" customHeight="1" x14ac:dyDescent="0.2">
      <c r="A69" s="6" t="s">
        <v>135</v>
      </c>
      <c r="B69" s="6"/>
      <c r="C69" s="10" t="s">
        <v>46</v>
      </c>
      <c r="D69" s="11" t="s">
        <v>47</v>
      </c>
    </row>
    <row r="70" spans="1:9" ht="12" customHeight="1" x14ac:dyDescent="0.2">
      <c r="A70" s="6" t="s">
        <v>136</v>
      </c>
      <c r="B70" s="6"/>
      <c r="C70" s="10" t="s">
        <v>51</v>
      </c>
      <c r="D70" s="11" t="s">
        <v>48</v>
      </c>
    </row>
    <row r="71" spans="1:9" ht="12" customHeight="1" x14ac:dyDescent="0.2">
      <c r="A71" s="6" t="s">
        <v>137</v>
      </c>
      <c r="B71" s="6"/>
      <c r="C71" s="10" t="s">
        <v>49</v>
      </c>
      <c r="D71" s="11">
        <v>302</v>
      </c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57CD-4527-498D-990F-874EEBDE8776}">
  <dimension ref="A1:Q96"/>
  <sheetViews>
    <sheetView tabSelected="1" topLeftCell="H1" zoomScale="70" zoomScaleNormal="70" workbookViewId="0">
      <selection activeCell="O42" sqref="O42"/>
    </sheetView>
  </sheetViews>
  <sheetFormatPr baseColWidth="10" defaultRowHeight="14.25" outlineLevelCol="1" x14ac:dyDescent="0.2"/>
  <cols>
    <col min="1" max="1" width="15.75" style="28" customWidth="1"/>
    <col min="2" max="2" width="44.25" bestFit="1" customWidth="1"/>
    <col min="3" max="4" width="55.875" customWidth="1"/>
    <col min="5" max="5" width="15.125" style="22" bestFit="1" customWidth="1"/>
    <col min="6" max="6" width="13.75" style="22" bestFit="1" customWidth="1"/>
    <col min="7" max="7" width="10.875" style="22" bestFit="1" customWidth="1"/>
    <col min="8" max="8" width="17.5" style="22" bestFit="1" customWidth="1"/>
    <col min="9" max="9" width="26.875" style="22" bestFit="1" customWidth="1"/>
    <col min="10" max="10" width="17.5" style="22" bestFit="1" customWidth="1"/>
    <col min="11" max="11" width="21.75" customWidth="1" outlineLevel="1"/>
    <col min="12" max="12" width="22.25" customWidth="1" outlineLevel="1"/>
    <col min="13" max="15" width="16.5" customWidth="1" outlineLevel="1"/>
    <col min="16" max="16" width="34.875" bestFit="1" customWidth="1" outlineLevel="1"/>
    <col min="17" max="17" width="147.25" bestFit="1" customWidth="1"/>
  </cols>
  <sheetData>
    <row r="1" spans="1:17" s="27" customFormat="1" ht="24" customHeight="1" x14ac:dyDescent="0.2">
      <c r="A1" s="23" t="s">
        <v>0</v>
      </c>
      <c r="B1" s="24" t="s">
        <v>203</v>
      </c>
      <c r="C1" s="24" t="s">
        <v>204</v>
      </c>
      <c r="D1" s="24" t="s">
        <v>279</v>
      </c>
      <c r="E1" s="25" t="s">
        <v>193</v>
      </c>
      <c r="F1" s="25" t="s">
        <v>194</v>
      </c>
      <c r="G1" s="25" t="s">
        <v>195</v>
      </c>
      <c r="H1" s="25" t="s">
        <v>196</v>
      </c>
      <c r="I1" s="25" t="s">
        <v>197</v>
      </c>
      <c r="J1" s="25" t="s">
        <v>198</v>
      </c>
      <c r="K1" s="25" t="s">
        <v>193</v>
      </c>
      <c r="L1" s="25" t="s">
        <v>194</v>
      </c>
      <c r="M1" s="25" t="s">
        <v>195</v>
      </c>
      <c r="N1" s="25" t="s">
        <v>196</v>
      </c>
      <c r="O1" s="25" t="s">
        <v>197</v>
      </c>
      <c r="P1" s="25" t="s">
        <v>198</v>
      </c>
      <c r="Q1" s="26" t="s">
        <v>187</v>
      </c>
    </row>
    <row r="2" spans="1:17" ht="15" x14ac:dyDescent="0.25">
      <c r="A2" s="29" t="s">
        <v>189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</row>
    <row r="3" spans="1:17" x14ac:dyDescent="0.2">
      <c r="A3" s="28">
        <v>1</v>
      </c>
      <c r="B3" t="s">
        <v>149</v>
      </c>
      <c r="C3" t="s">
        <v>205</v>
      </c>
      <c r="D3" t="s">
        <v>280</v>
      </c>
      <c r="E3" s="22">
        <v>1</v>
      </c>
      <c r="F3" s="22" t="s">
        <v>7</v>
      </c>
      <c r="G3" s="22">
        <v>1</v>
      </c>
      <c r="H3" s="22">
        <v>1</v>
      </c>
      <c r="I3" s="22">
        <v>1</v>
      </c>
      <c r="K3" t="str">
        <f t="shared" ref="K3:K33" si="0">IF(E3 = "","",IF(ISERR(FIND(",",E3)),E$1&amp;" = "&amp; E3,E$1&amp;" IN ("&amp; E3&amp;")"))</f>
        <v>UV_KTR_TYP = 1</v>
      </c>
      <c r="L3" t="str">
        <f t="shared" ref="L3:L33" si="1">IF(F3 = "","",IF(ISERR(FIND(",",F3))," AND " &amp; F$1&amp;" = '"&amp; F3&amp;"'", " AND " &amp; F$1&amp;" IN ("&amp; F3&amp;")"))</f>
        <v xml:space="preserve"> AND UV_ABC_FALL = 'A'</v>
      </c>
      <c r="M3" t="str">
        <f t="shared" ref="M3:M33" si="2">IF(G3 = "","",IF(ISERR(FIND(",",G3)),G$1&amp;" = "&amp; G3, G$1&amp;" IN ("&amp; G3&amp;")"))</f>
        <v>UV_TARIF = 1</v>
      </c>
      <c r="N3" t="str">
        <f t="shared" ref="N3:O26" si="3">IF(H3 = "","",IF(ISERR(FIND(",",H3))," AND " &amp; H$1&amp;" = "&amp; H3, " AND " &amp; H$1&amp;" IN ("&amp; H3&amp;")"))</f>
        <v xml:space="preserve"> AND UV_LIEGEKLASSE = 1</v>
      </c>
      <c r="O3" t="str">
        <f t="shared" si="3"/>
        <v xml:space="preserve"> AND UV_GRUNDVERSICHERUNG = 1</v>
      </c>
      <c r="P3" t="str">
        <f t="shared" ref="P3:P14" si="4">IF(J3="",""," AND " &amp; J3&amp;"(" &amp; J$1 &amp; ")")</f>
        <v/>
      </c>
      <c r="Q3" s="39" t="str">
        <f t="shared" ref="Q3:Q34" si="5">"IF "&amp;M3&amp;N3&amp;O3&amp;P3&amp;" THEN col = '"&amp;A3&amp;"';"</f>
        <v>IF UV_TARIF = 1 AND UV_LIEGEKLASSE = 1 AND UV_GRUNDVERSICHERUNG = 1 THEN col = '1';</v>
      </c>
    </row>
    <row r="4" spans="1:17" x14ac:dyDescent="0.2">
      <c r="A4" s="28">
        <v>2</v>
      </c>
      <c r="B4" t="s">
        <v>150</v>
      </c>
      <c r="C4" t="s">
        <v>206</v>
      </c>
      <c r="D4" t="s">
        <v>281</v>
      </c>
      <c r="E4" s="22">
        <v>1</v>
      </c>
      <c r="F4" s="22" t="s">
        <v>7</v>
      </c>
      <c r="G4" s="22">
        <v>1</v>
      </c>
      <c r="H4" s="22" t="s">
        <v>9</v>
      </c>
      <c r="I4" s="22">
        <v>1</v>
      </c>
      <c r="K4" t="str">
        <f t="shared" si="0"/>
        <v>UV_KTR_TYP = 1</v>
      </c>
      <c r="L4" t="str">
        <f t="shared" si="1"/>
        <v xml:space="preserve"> AND UV_ABC_FALL = 'A'</v>
      </c>
      <c r="M4" t="str">
        <f t="shared" si="2"/>
        <v>UV_TARIF = 1</v>
      </c>
      <c r="N4" t="str">
        <f t="shared" si="3"/>
        <v xml:space="preserve"> AND UV_LIEGEKLASSE IN (2,3)</v>
      </c>
      <c r="O4" t="str">
        <f t="shared" si="3"/>
        <v xml:space="preserve"> AND UV_GRUNDVERSICHERUNG = 1</v>
      </c>
      <c r="P4" t="str">
        <f t="shared" si="4"/>
        <v/>
      </c>
      <c r="Q4" s="39" t="str">
        <f t="shared" si="5"/>
        <v>IF UV_TARIF = 1 AND UV_LIEGEKLASSE IN (2,3) AND UV_GRUNDVERSICHERUNG = 1 THEN col = '2';</v>
      </c>
    </row>
    <row r="5" spans="1:17" x14ac:dyDescent="0.2">
      <c r="A5" s="28">
        <v>3</v>
      </c>
      <c r="B5" t="s">
        <v>151</v>
      </c>
      <c r="C5" t="s">
        <v>207</v>
      </c>
      <c r="D5" t="s">
        <v>282</v>
      </c>
      <c r="E5" s="22">
        <v>1</v>
      </c>
      <c r="F5" s="22" t="s">
        <v>7</v>
      </c>
      <c r="G5" s="22">
        <v>1</v>
      </c>
      <c r="H5" s="22">
        <v>1</v>
      </c>
      <c r="I5" s="22" t="s">
        <v>10</v>
      </c>
      <c r="K5" t="str">
        <f t="shared" si="0"/>
        <v>UV_KTR_TYP = 1</v>
      </c>
      <c r="L5" t="str">
        <f t="shared" si="1"/>
        <v xml:space="preserve"> AND UV_ABC_FALL = 'A'</v>
      </c>
      <c r="M5" t="str">
        <f t="shared" si="2"/>
        <v>UV_TARIF = 1</v>
      </c>
      <c r="N5" t="str">
        <f t="shared" si="3"/>
        <v xml:space="preserve"> AND UV_LIEGEKLASSE = 1</v>
      </c>
      <c r="O5" t="str">
        <f t="shared" si="3"/>
        <v xml:space="preserve"> AND UV_GRUNDVERSICHERUNG IN (2,3,4)</v>
      </c>
      <c r="P5" t="str">
        <f t="shared" si="4"/>
        <v/>
      </c>
      <c r="Q5" s="39" t="str">
        <f t="shared" si="5"/>
        <v>IF UV_TARIF = 1 AND UV_LIEGEKLASSE = 1 AND UV_GRUNDVERSICHERUNG IN (2,3,4) THEN col = '3';</v>
      </c>
    </row>
    <row r="6" spans="1:17" x14ac:dyDescent="0.2">
      <c r="A6" s="28">
        <v>4</v>
      </c>
      <c r="B6" t="s">
        <v>152</v>
      </c>
      <c r="C6" t="s">
        <v>208</v>
      </c>
      <c r="D6" t="s">
        <v>283</v>
      </c>
      <c r="E6" s="22">
        <v>1</v>
      </c>
      <c r="F6" s="22" t="s">
        <v>7</v>
      </c>
      <c r="G6" s="22">
        <v>1</v>
      </c>
      <c r="H6" s="22" t="s">
        <v>9</v>
      </c>
      <c r="I6" s="22" t="s">
        <v>10</v>
      </c>
      <c r="K6" t="str">
        <f t="shared" si="0"/>
        <v>UV_KTR_TYP = 1</v>
      </c>
      <c r="L6" t="str">
        <f t="shared" si="1"/>
        <v xml:space="preserve"> AND UV_ABC_FALL = 'A'</v>
      </c>
      <c r="M6" t="str">
        <f t="shared" si="2"/>
        <v>UV_TARIF = 1</v>
      </c>
      <c r="N6" t="str">
        <f t="shared" si="3"/>
        <v xml:space="preserve"> AND UV_LIEGEKLASSE IN (2,3)</v>
      </c>
      <c r="O6" t="str">
        <f t="shared" si="3"/>
        <v xml:space="preserve"> AND UV_GRUNDVERSICHERUNG IN (2,3,4)</v>
      </c>
      <c r="P6" t="str">
        <f t="shared" si="4"/>
        <v/>
      </c>
      <c r="Q6" s="39" t="str">
        <f t="shared" si="5"/>
        <v>IF UV_TARIF = 1 AND UV_LIEGEKLASSE IN (2,3) AND UV_GRUNDVERSICHERUNG IN (2,3,4) THEN col = '4';</v>
      </c>
    </row>
    <row r="7" spans="1:17" x14ac:dyDescent="0.2">
      <c r="A7" s="28">
        <v>5</v>
      </c>
      <c r="B7" t="s">
        <v>11</v>
      </c>
      <c r="C7" t="s">
        <v>209</v>
      </c>
      <c r="D7" t="s">
        <v>284</v>
      </c>
      <c r="E7" s="22">
        <v>1</v>
      </c>
      <c r="F7" s="22" t="s">
        <v>7</v>
      </c>
      <c r="G7" s="22">
        <v>2</v>
      </c>
      <c r="H7" s="22">
        <v>1</v>
      </c>
      <c r="I7" s="22" t="s">
        <v>145</v>
      </c>
      <c r="K7" t="str">
        <f t="shared" si="0"/>
        <v>UV_KTR_TYP = 1</v>
      </c>
      <c r="L7" t="str">
        <f t="shared" si="1"/>
        <v xml:space="preserve"> AND UV_ABC_FALL = 'A'</v>
      </c>
      <c r="M7" t="str">
        <f t="shared" si="2"/>
        <v>UV_TARIF = 2</v>
      </c>
      <c r="N7" t="str">
        <f t="shared" si="3"/>
        <v xml:space="preserve"> AND UV_LIEGEKLASSE = 1</v>
      </c>
      <c r="O7" t="str">
        <f t="shared" si="3"/>
        <v xml:space="preserve"> AND UV_GRUNDVERSICHERUNG IN (1,2,3,4)</v>
      </c>
      <c r="P7" t="str">
        <f t="shared" si="4"/>
        <v/>
      </c>
      <c r="Q7" s="39" t="str">
        <f t="shared" si="5"/>
        <v>IF UV_TARIF = 2 AND UV_LIEGEKLASSE = 1 AND UV_GRUNDVERSICHERUNG IN (1,2,3,4) THEN col = '5';</v>
      </c>
    </row>
    <row r="8" spans="1:17" x14ac:dyDescent="0.2">
      <c r="A8" s="28">
        <v>6</v>
      </c>
      <c r="B8" t="s">
        <v>12</v>
      </c>
      <c r="C8" t="s">
        <v>210</v>
      </c>
      <c r="D8" t="s">
        <v>285</v>
      </c>
      <c r="E8" s="22">
        <v>1</v>
      </c>
      <c r="F8" s="22" t="s">
        <v>7</v>
      </c>
      <c r="G8" s="22">
        <v>2</v>
      </c>
      <c r="H8" s="22" t="s">
        <v>9</v>
      </c>
      <c r="I8" s="22" t="s">
        <v>145</v>
      </c>
      <c r="K8" t="str">
        <f t="shared" si="0"/>
        <v>UV_KTR_TYP = 1</v>
      </c>
      <c r="L8" t="str">
        <f t="shared" si="1"/>
        <v xml:space="preserve"> AND UV_ABC_FALL = 'A'</v>
      </c>
      <c r="M8" t="str">
        <f t="shared" si="2"/>
        <v>UV_TARIF = 2</v>
      </c>
      <c r="N8" t="str">
        <f t="shared" si="3"/>
        <v xml:space="preserve"> AND UV_LIEGEKLASSE IN (2,3)</v>
      </c>
      <c r="O8" t="str">
        <f t="shared" si="3"/>
        <v xml:space="preserve"> AND UV_GRUNDVERSICHERUNG IN (1,2,3,4)</v>
      </c>
      <c r="P8" t="str">
        <f t="shared" si="4"/>
        <v/>
      </c>
      <c r="Q8" s="39" t="str">
        <f t="shared" si="5"/>
        <v>IF UV_TARIF = 2 AND UV_LIEGEKLASSE IN (2,3) AND UV_GRUNDVERSICHERUNG IN (1,2,3,4) THEN col = '6';</v>
      </c>
    </row>
    <row r="9" spans="1:17" x14ac:dyDescent="0.2">
      <c r="A9" s="28">
        <v>7</v>
      </c>
      <c r="B9" t="s">
        <v>142</v>
      </c>
      <c r="C9" t="s">
        <v>211</v>
      </c>
      <c r="D9" t="s">
        <v>286</v>
      </c>
      <c r="E9" s="22">
        <v>1</v>
      </c>
      <c r="F9" s="22" t="s">
        <v>7</v>
      </c>
      <c r="G9" s="22" t="s">
        <v>144</v>
      </c>
      <c r="H9" s="22" t="s">
        <v>13</v>
      </c>
      <c r="I9" s="22" t="s">
        <v>14</v>
      </c>
      <c r="K9" t="str">
        <f t="shared" si="0"/>
        <v>UV_KTR_TYP = 1</v>
      </c>
      <c r="L9" t="str">
        <f t="shared" si="1"/>
        <v xml:space="preserve"> AND UV_ABC_FALL = 'A'</v>
      </c>
      <c r="M9" t="str">
        <f t="shared" si="2"/>
        <v>UV_TARIF IN (1,2)</v>
      </c>
      <c r="N9" t="str">
        <f t="shared" si="3"/>
        <v xml:space="preserve"> AND UV_LIEGEKLASSE IN (1,2,3)</v>
      </c>
      <c r="O9" t="str">
        <f t="shared" si="3"/>
        <v xml:space="preserve"> AND UV_GRUNDVERSICHERUNG IN (5,8)</v>
      </c>
      <c r="P9" t="str">
        <f t="shared" si="4"/>
        <v/>
      </c>
      <c r="Q9" s="39" t="str">
        <f t="shared" si="5"/>
        <v>IF UV_TARIF IN (1,2) AND UV_LIEGEKLASSE IN (1,2,3) AND UV_GRUNDVERSICHERUNG IN (5,8) THEN col = '7';</v>
      </c>
    </row>
    <row r="10" spans="1:17" x14ac:dyDescent="0.2">
      <c r="A10" s="28">
        <v>8</v>
      </c>
      <c r="B10" t="s">
        <v>153</v>
      </c>
      <c r="C10" t="s">
        <v>212</v>
      </c>
      <c r="D10" t="s">
        <v>287</v>
      </c>
      <c r="E10" s="22">
        <v>1</v>
      </c>
      <c r="F10" s="22" t="s">
        <v>7</v>
      </c>
      <c r="G10" s="22">
        <v>3</v>
      </c>
      <c r="H10" s="22">
        <v>1</v>
      </c>
      <c r="I10" s="22">
        <v>1</v>
      </c>
      <c r="K10" t="str">
        <f t="shared" si="0"/>
        <v>UV_KTR_TYP = 1</v>
      </c>
      <c r="L10" t="str">
        <f t="shared" si="1"/>
        <v xml:space="preserve"> AND UV_ABC_FALL = 'A'</v>
      </c>
      <c r="M10" t="str">
        <f t="shared" si="2"/>
        <v>UV_TARIF = 3</v>
      </c>
      <c r="N10" t="str">
        <f t="shared" si="3"/>
        <v xml:space="preserve"> AND UV_LIEGEKLASSE = 1</v>
      </c>
      <c r="O10" t="str">
        <f t="shared" si="3"/>
        <v xml:space="preserve"> AND UV_GRUNDVERSICHERUNG = 1</v>
      </c>
      <c r="P10" t="str">
        <f t="shared" si="4"/>
        <v/>
      </c>
      <c r="Q10" s="39" t="str">
        <f t="shared" si="5"/>
        <v>IF UV_TARIF = 3 AND UV_LIEGEKLASSE = 1 AND UV_GRUNDVERSICHERUNG = 1 THEN col = '8';</v>
      </c>
    </row>
    <row r="11" spans="1:17" x14ac:dyDescent="0.2">
      <c r="A11" s="28">
        <v>9</v>
      </c>
      <c r="B11" t="s">
        <v>15</v>
      </c>
      <c r="C11" t="s">
        <v>213</v>
      </c>
      <c r="D11" t="s">
        <v>288</v>
      </c>
      <c r="E11" s="22">
        <v>1</v>
      </c>
      <c r="F11" s="22" t="s">
        <v>7</v>
      </c>
      <c r="G11" s="22">
        <v>3</v>
      </c>
      <c r="H11" s="22" t="s">
        <v>9</v>
      </c>
      <c r="I11" s="22">
        <v>1</v>
      </c>
      <c r="K11" t="str">
        <f t="shared" si="0"/>
        <v>UV_KTR_TYP = 1</v>
      </c>
      <c r="L11" t="str">
        <f t="shared" si="1"/>
        <v xml:space="preserve"> AND UV_ABC_FALL = 'A'</v>
      </c>
      <c r="M11" t="str">
        <f t="shared" si="2"/>
        <v>UV_TARIF = 3</v>
      </c>
      <c r="N11" t="str">
        <f t="shared" si="3"/>
        <v xml:space="preserve"> AND UV_LIEGEKLASSE IN (2,3)</v>
      </c>
      <c r="O11" t="str">
        <f t="shared" si="3"/>
        <v xml:space="preserve"> AND UV_GRUNDVERSICHERUNG = 1</v>
      </c>
      <c r="P11" t="str">
        <f t="shared" si="4"/>
        <v/>
      </c>
      <c r="Q11" s="39" t="str">
        <f t="shared" si="5"/>
        <v>IF UV_TARIF = 3 AND UV_LIEGEKLASSE IN (2,3) AND UV_GRUNDVERSICHERUNG = 1 THEN col = '9';</v>
      </c>
    </row>
    <row r="12" spans="1:17" x14ac:dyDescent="0.2">
      <c r="A12" s="28">
        <v>10</v>
      </c>
      <c r="B12" t="s">
        <v>16</v>
      </c>
      <c r="C12" t="s">
        <v>214</v>
      </c>
      <c r="D12" t="s">
        <v>289</v>
      </c>
      <c r="E12" s="22">
        <v>1</v>
      </c>
      <c r="F12" s="22" t="s">
        <v>7</v>
      </c>
      <c r="G12" s="22">
        <v>3</v>
      </c>
      <c r="H12" s="22">
        <v>1</v>
      </c>
      <c r="I12" s="22" t="s">
        <v>10</v>
      </c>
      <c r="K12" t="str">
        <f t="shared" si="0"/>
        <v>UV_KTR_TYP = 1</v>
      </c>
      <c r="L12" t="str">
        <f t="shared" si="1"/>
        <v xml:space="preserve"> AND UV_ABC_FALL = 'A'</v>
      </c>
      <c r="M12" t="str">
        <f t="shared" si="2"/>
        <v>UV_TARIF = 3</v>
      </c>
      <c r="N12" t="str">
        <f t="shared" si="3"/>
        <v xml:space="preserve"> AND UV_LIEGEKLASSE = 1</v>
      </c>
      <c r="O12" t="str">
        <f t="shared" si="3"/>
        <v xml:space="preserve"> AND UV_GRUNDVERSICHERUNG IN (2,3,4)</v>
      </c>
      <c r="P12" t="str">
        <f t="shared" si="4"/>
        <v/>
      </c>
      <c r="Q12" s="39" t="str">
        <f t="shared" si="5"/>
        <v>IF UV_TARIF = 3 AND UV_LIEGEKLASSE = 1 AND UV_GRUNDVERSICHERUNG IN (2,3,4) THEN col = '10';</v>
      </c>
    </row>
    <row r="13" spans="1:17" x14ac:dyDescent="0.2">
      <c r="A13" s="28">
        <v>11</v>
      </c>
      <c r="B13" t="s">
        <v>17</v>
      </c>
      <c r="C13" t="s">
        <v>215</v>
      </c>
      <c r="D13" t="s">
        <v>290</v>
      </c>
      <c r="E13" s="22">
        <v>1</v>
      </c>
      <c r="F13" s="22" t="s">
        <v>7</v>
      </c>
      <c r="G13" s="22">
        <v>3</v>
      </c>
      <c r="H13" s="22" t="s">
        <v>9</v>
      </c>
      <c r="I13" s="22" t="s">
        <v>10</v>
      </c>
      <c r="K13" t="str">
        <f t="shared" si="0"/>
        <v>UV_KTR_TYP = 1</v>
      </c>
      <c r="L13" t="str">
        <f t="shared" si="1"/>
        <v xml:space="preserve"> AND UV_ABC_FALL = 'A'</v>
      </c>
      <c r="M13" t="str">
        <f t="shared" si="2"/>
        <v>UV_TARIF = 3</v>
      </c>
      <c r="N13" t="str">
        <f t="shared" si="3"/>
        <v xml:space="preserve"> AND UV_LIEGEKLASSE IN (2,3)</v>
      </c>
      <c r="O13" t="str">
        <f t="shared" si="3"/>
        <v xml:space="preserve"> AND UV_GRUNDVERSICHERUNG IN (2,3,4)</v>
      </c>
      <c r="P13" t="str">
        <f t="shared" si="4"/>
        <v/>
      </c>
      <c r="Q13" s="39" t="str">
        <f t="shared" si="5"/>
        <v>IF UV_TARIF = 3 AND UV_LIEGEKLASSE IN (2,3) AND UV_GRUNDVERSICHERUNG IN (2,3,4) THEN col = '11';</v>
      </c>
    </row>
    <row r="14" spans="1:17" x14ac:dyDescent="0.2">
      <c r="A14" s="28">
        <v>12</v>
      </c>
      <c r="B14" t="s">
        <v>18</v>
      </c>
      <c r="C14" t="s">
        <v>216</v>
      </c>
      <c r="D14" t="s">
        <v>291</v>
      </c>
      <c r="E14" s="22">
        <v>1</v>
      </c>
      <c r="F14" s="22" t="s">
        <v>7</v>
      </c>
      <c r="G14" s="22" t="s">
        <v>355</v>
      </c>
      <c r="H14" s="22" t="s">
        <v>13</v>
      </c>
      <c r="I14" s="22" t="s">
        <v>14</v>
      </c>
      <c r="K14" t="str">
        <f t="shared" si="0"/>
        <v>UV_KTR_TYP = 1</v>
      </c>
      <c r="L14" t="str">
        <f t="shared" si="1"/>
        <v xml:space="preserve"> AND UV_ABC_FALL = 'A'</v>
      </c>
      <c r="M14" t="str">
        <f t="shared" si="2"/>
        <v>UV_TARIF IN (3,4)</v>
      </c>
      <c r="N14" t="str">
        <f t="shared" si="3"/>
        <v xml:space="preserve"> AND UV_LIEGEKLASSE IN (1,2,3)</v>
      </c>
      <c r="O14" t="str">
        <f t="shared" si="3"/>
        <v xml:space="preserve"> AND UV_GRUNDVERSICHERUNG IN (5,8)</v>
      </c>
      <c r="P14" t="str">
        <f t="shared" si="4"/>
        <v/>
      </c>
      <c r="Q14" s="39" t="str">
        <f t="shared" si="5"/>
        <v>IF UV_TARIF IN (3,4) AND UV_LIEGEKLASSE IN (1,2,3) AND UV_GRUNDVERSICHERUNG IN (5,8) THEN col = '12';</v>
      </c>
    </row>
    <row r="15" spans="1:17" x14ac:dyDescent="0.2">
      <c r="A15" s="28">
        <v>13</v>
      </c>
      <c r="B15" t="s">
        <v>154</v>
      </c>
      <c r="C15" t="s">
        <v>246</v>
      </c>
      <c r="D15" t="s">
        <v>292</v>
      </c>
      <c r="E15" s="22">
        <v>1</v>
      </c>
      <c r="F15" s="22" t="s">
        <v>7</v>
      </c>
      <c r="G15" s="22" t="s">
        <v>202</v>
      </c>
      <c r="H15" s="22">
        <v>1</v>
      </c>
      <c r="I15" s="22">
        <v>1</v>
      </c>
      <c r="J15" s="22" t="s">
        <v>276</v>
      </c>
      <c r="K15" t="str">
        <f t="shared" si="0"/>
        <v>UV_KTR_TYP = 1</v>
      </c>
      <c r="L15" t="str">
        <f t="shared" si="1"/>
        <v xml:space="preserve"> AND UV_ABC_FALL = 'A'</v>
      </c>
      <c r="M15" t="str">
        <f t="shared" si="2"/>
        <v>UV_TARIF IN (1,2,3,4,5,6,7)</v>
      </c>
      <c r="N15" t="str">
        <f t="shared" si="3"/>
        <v xml:space="preserve"> AND UV_LIEGEKLASSE = 1</v>
      </c>
      <c r="O15" t="str">
        <f t="shared" si="3"/>
        <v xml:space="preserve"> AND UV_GRUNDVERSICHERUNG = 1</v>
      </c>
      <c r="P15" t="str">
        <f t="shared" ref="P15:P24" si="6">IF(J15 = "","",IF(ISERR(FIND(",",J15))," AND " &amp; J$1&amp;" = '"&amp; J15&amp;"'", " AND " &amp; J$1&amp;" IN ("&amp; J15&amp;")"))</f>
        <v xml:space="preserve"> AND UV_KTR_BESCHR = 'FR'</v>
      </c>
      <c r="Q15" s="39" t="str">
        <f t="shared" si="5"/>
        <v>IF UV_TARIF IN (1,2,3,4,5,6,7) AND UV_LIEGEKLASSE = 1 AND UV_GRUNDVERSICHERUNG = 1 AND UV_KTR_BESCHR = 'FR' THEN col = '13';</v>
      </c>
    </row>
    <row r="16" spans="1:17" x14ac:dyDescent="0.2">
      <c r="A16" s="28">
        <v>14</v>
      </c>
      <c r="B16" t="s">
        <v>155</v>
      </c>
      <c r="C16" t="s">
        <v>247</v>
      </c>
      <c r="D16" t="s">
        <v>293</v>
      </c>
      <c r="E16" s="22">
        <v>1</v>
      </c>
      <c r="F16" s="22" t="s">
        <v>7</v>
      </c>
      <c r="G16" s="22" t="s">
        <v>202</v>
      </c>
      <c r="H16" s="22" t="s">
        <v>9</v>
      </c>
      <c r="I16" s="22">
        <v>1</v>
      </c>
      <c r="J16" s="22" t="s">
        <v>276</v>
      </c>
      <c r="K16" t="str">
        <f t="shared" si="0"/>
        <v>UV_KTR_TYP = 1</v>
      </c>
      <c r="L16" t="str">
        <f t="shared" si="1"/>
        <v xml:space="preserve"> AND UV_ABC_FALL = 'A'</v>
      </c>
      <c r="M16" t="str">
        <f t="shared" si="2"/>
        <v>UV_TARIF IN (1,2,3,4,5,6,7)</v>
      </c>
      <c r="N16" t="str">
        <f t="shared" si="3"/>
        <v xml:space="preserve"> AND UV_LIEGEKLASSE IN (2,3)</v>
      </c>
      <c r="O16" t="str">
        <f t="shared" si="3"/>
        <v xml:space="preserve"> AND UV_GRUNDVERSICHERUNG = 1</v>
      </c>
      <c r="P16" t="str">
        <f t="shared" si="6"/>
        <v xml:space="preserve"> AND UV_KTR_BESCHR = 'FR'</v>
      </c>
      <c r="Q16" s="39" t="str">
        <f t="shared" si="5"/>
        <v>IF UV_TARIF IN (1,2,3,4,5,6,7) AND UV_LIEGEKLASSE IN (2,3) AND UV_GRUNDVERSICHERUNG = 1 AND UV_KTR_BESCHR = 'FR' THEN col = '14';</v>
      </c>
    </row>
    <row r="17" spans="1:17" x14ac:dyDescent="0.2">
      <c r="A17" s="28">
        <v>15</v>
      </c>
      <c r="B17" t="s">
        <v>156</v>
      </c>
      <c r="C17" t="s">
        <v>248</v>
      </c>
      <c r="D17" t="s">
        <v>294</v>
      </c>
      <c r="E17" s="22">
        <v>1</v>
      </c>
      <c r="F17" s="22" t="s">
        <v>7</v>
      </c>
      <c r="G17" s="22" t="s">
        <v>202</v>
      </c>
      <c r="H17" s="22">
        <v>1</v>
      </c>
      <c r="I17" s="22" t="s">
        <v>10</v>
      </c>
      <c r="J17" s="22" t="s">
        <v>276</v>
      </c>
      <c r="K17" t="str">
        <f t="shared" si="0"/>
        <v>UV_KTR_TYP = 1</v>
      </c>
      <c r="L17" t="str">
        <f t="shared" si="1"/>
        <v xml:space="preserve"> AND UV_ABC_FALL = 'A'</v>
      </c>
      <c r="M17" t="str">
        <f t="shared" si="2"/>
        <v>UV_TARIF IN (1,2,3,4,5,6,7)</v>
      </c>
      <c r="N17" t="str">
        <f t="shared" si="3"/>
        <v xml:space="preserve"> AND UV_LIEGEKLASSE = 1</v>
      </c>
      <c r="O17" t="str">
        <f t="shared" si="3"/>
        <v xml:space="preserve"> AND UV_GRUNDVERSICHERUNG IN (2,3,4)</v>
      </c>
      <c r="P17" t="str">
        <f t="shared" si="6"/>
        <v xml:space="preserve"> AND UV_KTR_BESCHR = 'FR'</v>
      </c>
      <c r="Q17" s="39" t="str">
        <f t="shared" si="5"/>
        <v>IF UV_TARIF IN (1,2,3,4,5,6,7) AND UV_LIEGEKLASSE = 1 AND UV_GRUNDVERSICHERUNG IN (2,3,4) AND UV_KTR_BESCHR = 'FR' THEN col = '15';</v>
      </c>
    </row>
    <row r="18" spans="1:17" x14ac:dyDescent="0.2">
      <c r="A18" s="28">
        <v>16</v>
      </c>
      <c r="B18" t="s">
        <v>157</v>
      </c>
      <c r="C18" t="s">
        <v>249</v>
      </c>
      <c r="D18" t="s">
        <v>295</v>
      </c>
      <c r="E18" s="22">
        <v>1</v>
      </c>
      <c r="F18" s="22" t="s">
        <v>7</v>
      </c>
      <c r="G18" s="22" t="s">
        <v>202</v>
      </c>
      <c r="H18" s="22" t="s">
        <v>9</v>
      </c>
      <c r="I18" s="22" t="s">
        <v>10</v>
      </c>
      <c r="J18" s="22" t="s">
        <v>276</v>
      </c>
      <c r="K18" t="str">
        <f t="shared" si="0"/>
        <v>UV_KTR_TYP = 1</v>
      </c>
      <c r="L18" t="str">
        <f t="shared" si="1"/>
        <v xml:space="preserve"> AND UV_ABC_FALL = 'A'</v>
      </c>
      <c r="M18" t="str">
        <f t="shared" si="2"/>
        <v>UV_TARIF IN (1,2,3,4,5,6,7)</v>
      </c>
      <c r="N18" t="str">
        <f t="shared" si="3"/>
        <v xml:space="preserve"> AND UV_LIEGEKLASSE IN (2,3)</v>
      </c>
      <c r="O18" t="str">
        <f t="shared" si="3"/>
        <v xml:space="preserve"> AND UV_GRUNDVERSICHERUNG IN (2,3,4)</v>
      </c>
      <c r="P18" t="str">
        <f t="shared" si="6"/>
        <v xml:space="preserve"> AND UV_KTR_BESCHR = 'FR'</v>
      </c>
      <c r="Q18" s="39" t="str">
        <f t="shared" si="5"/>
        <v>IF UV_TARIF IN (1,2,3,4,5,6,7) AND UV_LIEGEKLASSE IN (2,3) AND UV_GRUNDVERSICHERUNG IN (2,3,4) AND UV_KTR_BESCHR = 'FR' THEN col = '16';</v>
      </c>
    </row>
    <row r="19" spans="1:17" x14ac:dyDescent="0.2">
      <c r="A19" s="28">
        <v>17</v>
      </c>
      <c r="B19" t="s">
        <v>158</v>
      </c>
      <c r="C19" t="s">
        <v>250</v>
      </c>
      <c r="D19" t="s">
        <v>296</v>
      </c>
      <c r="E19" s="22">
        <v>1</v>
      </c>
      <c r="F19" s="22" t="s">
        <v>7</v>
      </c>
      <c r="G19" s="22" t="s">
        <v>202</v>
      </c>
      <c r="H19" s="22" t="s">
        <v>13</v>
      </c>
      <c r="I19" s="22" t="s">
        <v>14</v>
      </c>
      <c r="J19" s="22" t="s">
        <v>276</v>
      </c>
      <c r="K19" t="str">
        <f t="shared" si="0"/>
        <v>UV_KTR_TYP = 1</v>
      </c>
      <c r="L19" t="str">
        <f t="shared" si="1"/>
        <v xml:space="preserve"> AND UV_ABC_FALL = 'A'</v>
      </c>
      <c r="M19" t="str">
        <f t="shared" si="2"/>
        <v>UV_TARIF IN (1,2,3,4,5,6,7)</v>
      </c>
      <c r="N19" t="str">
        <f t="shared" si="3"/>
        <v xml:space="preserve"> AND UV_LIEGEKLASSE IN (1,2,3)</v>
      </c>
      <c r="O19" t="str">
        <f t="shared" si="3"/>
        <v xml:space="preserve"> AND UV_GRUNDVERSICHERUNG IN (5,8)</v>
      </c>
      <c r="P19" t="str">
        <f t="shared" si="6"/>
        <v xml:space="preserve"> AND UV_KTR_BESCHR = 'FR'</v>
      </c>
      <c r="Q19" s="39" t="str">
        <f t="shared" si="5"/>
        <v>IF UV_TARIF IN (1,2,3,4,5,6,7) AND UV_LIEGEKLASSE IN (1,2,3) AND UV_GRUNDVERSICHERUNG IN (5,8) AND UV_KTR_BESCHR = 'FR' THEN col = '17';</v>
      </c>
    </row>
    <row r="20" spans="1:17" x14ac:dyDescent="0.2">
      <c r="A20" s="28">
        <v>18</v>
      </c>
      <c r="B20" t="s">
        <v>159</v>
      </c>
      <c r="C20" t="s">
        <v>251</v>
      </c>
      <c r="D20" t="s">
        <v>297</v>
      </c>
      <c r="E20" s="22">
        <v>1</v>
      </c>
      <c r="F20" s="22" t="s">
        <v>7</v>
      </c>
      <c r="G20" s="22" t="s">
        <v>202</v>
      </c>
      <c r="H20" s="22">
        <v>1</v>
      </c>
      <c r="I20" s="22">
        <v>1</v>
      </c>
      <c r="J20" s="22" t="s">
        <v>277</v>
      </c>
      <c r="K20" t="str">
        <f t="shared" si="0"/>
        <v>UV_KTR_TYP = 1</v>
      </c>
      <c r="L20" t="str">
        <f t="shared" si="1"/>
        <v xml:space="preserve"> AND UV_ABC_FALL = 'A'</v>
      </c>
      <c r="M20" t="str">
        <f t="shared" si="2"/>
        <v>UV_TARIF IN (1,2,3,4,5,6,7)</v>
      </c>
      <c r="N20" t="str">
        <f t="shared" si="3"/>
        <v xml:space="preserve"> AND UV_LIEGEKLASSE = 1</v>
      </c>
      <c r="O20" t="str">
        <f t="shared" si="3"/>
        <v xml:space="preserve"> AND UV_GRUNDVERSICHERUNG = 1</v>
      </c>
      <c r="P20" t="str">
        <f t="shared" si="6"/>
        <v xml:space="preserve"> AND UV_KTR_BESCHR = 'PARA'</v>
      </c>
      <c r="Q20" s="39" t="str">
        <f t="shared" si="5"/>
        <v>IF UV_TARIF IN (1,2,3,4,5,6,7) AND UV_LIEGEKLASSE = 1 AND UV_GRUNDVERSICHERUNG = 1 AND UV_KTR_BESCHR = 'PARA' THEN col = '18';</v>
      </c>
    </row>
    <row r="21" spans="1:17" x14ac:dyDescent="0.2">
      <c r="A21" s="28">
        <v>19</v>
      </c>
      <c r="B21" t="s">
        <v>160</v>
      </c>
      <c r="C21" t="s">
        <v>252</v>
      </c>
      <c r="D21" t="s">
        <v>298</v>
      </c>
      <c r="E21" s="22">
        <v>1</v>
      </c>
      <c r="F21" s="22" t="s">
        <v>7</v>
      </c>
      <c r="G21" s="22" t="s">
        <v>202</v>
      </c>
      <c r="H21" s="22" t="s">
        <v>9</v>
      </c>
      <c r="I21" s="22">
        <v>1</v>
      </c>
      <c r="J21" s="22" t="s">
        <v>277</v>
      </c>
      <c r="K21" t="str">
        <f t="shared" si="0"/>
        <v>UV_KTR_TYP = 1</v>
      </c>
      <c r="L21" t="str">
        <f t="shared" si="1"/>
        <v xml:space="preserve"> AND UV_ABC_FALL = 'A'</v>
      </c>
      <c r="M21" t="str">
        <f t="shared" si="2"/>
        <v>UV_TARIF IN (1,2,3,4,5,6,7)</v>
      </c>
      <c r="N21" t="str">
        <f t="shared" si="3"/>
        <v xml:space="preserve"> AND UV_LIEGEKLASSE IN (2,3)</v>
      </c>
      <c r="O21" t="str">
        <f t="shared" si="3"/>
        <v xml:space="preserve"> AND UV_GRUNDVERSICHERUNG = 1</v>
      </c>
      <c r="P21" t="str">
        <f t="shared" si="6"/>
        <v xml:space="preserve"> AND UV_KTR_BESCHR = 'PARA'</v>
      </c>
      <c r="Q21" s="39" t="str">
        <f t="shared" si="5"/>
        <v>IF UV_TARIF IN (1,2,3,4,5,6,7) AND UV_LIEGEKLASSE IN (2,3) AND UV_GRUNDVERSICHERUNG = 1 AND UV_KTR_BESCHR = 'PARA' THEN col = '19';</v>
      </c>
    </row>
    <row r="22" spans="1:17" x14ac:dyDescent="0.2">
      <c r="A22" s="28">
        <v>20</v>
      </c>
      <c r="B22" t="s">
        <v>161</v>
      </c>
      <c r="C22" t="s">
        <v>253</v>
      </c>
      <c r="D22" t="s">
        <v>299</v>
      </c>
      <c r="E22" s="22">
        <v>1</v>
      </c>
      <c r="F22" s="22" t="s">
        <v>7</v>
      </c>
      <c r="G22" s="22" t="s">
        <v>202</v>
      </c>
      <c r="H22" s="22">
        <v>1</v>
      </c>
      <c r="I22" s="22" t="s">
        <v>10</v>
      </c>
      <c r="J22" s="22" t="s">
        <v>277</v>
      </c>
      <c r="K22" t="str">
        <f t="shared" si="0"/>
        <v>UV_KTR_TYP = 1</v>
      </c>
      <c r="L22" t="str">
        <f t="shared" si="1"/>
        <v xml:space="preserve"> AND UV_ABC_FALL = 'A'</v>
      </c>
      <c r="M22" t="str">
        <f t="shared" si="2"/>
        <v>UV_TARIF IN (1,2,3,4,5,6,7)</v>
      </c>
      <c r="N22" t="str">
        <f t="shared" si="3"/>
        <v xml:space="preserve"> AND UV_LIEGEKLASSE = 1</v>
      </c>
      <c r="O22" t="str">
        <f t="shared" si="3"/>
        <v xml:space="preserve"> AND UV_GRUNDVERSICHERUNG IN (2,3,4)</v>
      </c>
      <c r="P22" t="str">
        <f t="shared" si="6"/>
        <v xml:space="preserve"> AND UV_KTR_BESCHR = 'PARA'</v>
      </c>
      <c r="Q22" s="39" t="str">
        <f t="shared" si="5"/>
        <v>IF UV_TARIF IN (1,2,3,4,5,6,7) AND UV_LIEGEKLASSE = 1 AND UV_GRUNDVERSICHERUNG IN (2,3,4) AND UV_KTR_BESCHR = 'PARA' THEN col = '20';</v>
      </c>
    </row>
    <row r="23" spans="1:17" x14ac:dyDescent="0.2">
      <c r="A23" s="28">
        <v>21</v>
      </c>
      <c r="B23" t="s">
        <v>162</v>
      </c>
      <c r="C23" t="s">
        <v>254</v>
      </c>
      <c r="D23" t="s">
        <v>300</v>
      </c>
      <c r="E23" s="22">
        <v>1</v>
      </c>
      <c r="F23" s="22" t="s">
        <v>7</v>
      </c>
      <c r="G23" s="22" t="s">
        <v>202</v>
      </c>
      <c r="H23" s="22" t="s">
        <v>9</v>
      </c>
      <c r="I23" s="22" t="s">
        <v>10</v>
      </c>
      <c r="J23" s="22" t="s">
        <v>277</v>
      </c>
      <c r="K23" t="str">
        <f t="shared" si="0"/>
        <v>UV_KTR_TYP = 1</v>
      </c>
      <c r="L23" t="str">
        <f t="shared" si="1"/>
        <v xml:space="preserve"> AND UV_ABC_FALL = 'A'</v>
      </c>
      <c r="M23" t="str">
        <f t="shared" si="2"/>
        <v>UV_TARIF IN (1,2,3,4,5,6,7)</v>
      </c>
      <c r="N23" t="str">
        <f t="shared" si="3"/>
        <v xml:space="preserve"> AND UV_LIEGEKLASSE IN (2,3)</v>
      </c>
      <c r="O23" t="str">
        <f t="shared" si="3"/>
        <v xml:space="preserve"> AND UV_GRUNDVERSICHERUNG IN (2,3,4)</v>
      </c>
      <c r="P23" t="str">
        <f t="shared" si="6"/>
        <v xml:space="preserve"> AND UV_KTR_BESCHR = 'PARA'</v>
      </c>
      <c r="Q23" s="39" t="str">
        <f t="shared" si="5"/>
        <v>IF UV_TARIF IN (1,2,3,4,5,6,7) AND UV_LIEGEKLASSE IN (2,3) AND UV_GRUNDVERSICHERUNG IN (2,3,4) AND UV_KTR_BESCHR = 'PARA' THEN col = '21';</v>
      </c>
    </row>
    <row r="24" spans="1:17" x14ac:dyDescent="0.2">
      <c r="A24" s="28">
        <v>22</v>
      </c>
      <c r="B24" t="s">
        <v>163</v>
      </c>
      <c r="C24" t="s">
        <v>255</v>
      </c>
      <c r="D24" t="s">
        <v>301</v>
      </c>
      <c r="E24" s="22">
        <v>1</v>
      </c>
      <c r="F24" s="22" t="s">
        <v>7</v>
      </c>
      <c r="G24" s="22" t="s">
        <v>202</v>
      </c>
      <c r="H24" s="22" t="s">
        <v>13</v>
      </c>
      <c r="I24" s="22" t="s">
        <v>14</v>
      </c>
      <c r="J24" s="22" t="s">
        <v>277</v>
      </c>
      <c r="K24" t="str">
        <f t="shared" si="0"/>
        <v>UV_KTR_TYP = 1</v>
      </c>
      <c r="L24" t="str">
        <f t="shared" si="1"/>
        <v xml:space="preserve"> AND UV_ABC_FALL = 'A'</v>
      </c>
      <c r="M24" t="str">
        <f t="shared" si="2"/>
        <v>UV_TARIF IN (1,2,3,4,5,6,7)</v>
      </c>
      <c r="N24" t="str">
        <f t="shared" si="3"/>
        <v xml:space="preserve"> AND UV_LIEGEKLASSE IN (1,2,3)</v>
      </c>
      <c r="O24" t="str">
        <f t="shared" si="3"/>
        <v xml:space="preserve"> AND UV_GRUNDVERSICHERUNG IN (5,8)</v>
      </c>
      <c r="P24" t="str">
        <f t="shared" si="6"/>
        <v xml:space="preserve"> AND UV_KTR_BESCHR = 'PARA'</v>
      </c>
      <c r="Q24" s="39" t="str">
        <f t="shared" si="5"/>
        <v>IF UV_TARIF IN (1,2,3,4,5,6,7) AND UV_LIEGEKLASSE IN (1,2,3) AND UV_GRUNDVERSICHERUNG IN (5,8) AND UV_KTR_BESCHR = 'PARA' THEN col = '22';</v>
      </c>
    </row>
    <row r="25" spans="1:17" x14ac:dyDescent="0.2">
      <c r="A25" s="28">
        <v>23</v>
      </c>
      <c r="B25" t="s">
        <v>11</v>
      </c>
      <c r="C25" t="s">
        <v>217</v>
      </c>
      <c r="D25" t="s">
        <v>302</v>
      </c>
      <c r="E25" s="22">
        <v>1</v>
      </c>
      <c r="F25" s="22" t="s">
        <v>7</v>
      </c>
      <c r="G25" s="22">
        <v>4</v>
      </c>
      <c r="H25" s="22">
        <v>1</v>
      </c>
      <c r="I25" s="22" t="s">
        <v>145</v>
      </c>
      <c r="J25" s="40"/>
      <c r="K25" t="str">
        <f t="shared" si="0"/>
        <v>UV_KTR_TYP = 1</v>
      </c>
      <c r="L25" t="str">
        <f t="shared" si="1"/>
        <v xml:space="preserve"> AND UV_ABC_FALL = 'A'</v>
      </c>
      <c r="M25" t="str">
        <f t="shared" si="2"/>
        <v>UV_TARIF = 4</v>
      </c>
      <c r="N25" t="str">
        <f t="shared" si="3"/>
        <v xml:space="preserve"> AND UV_LIEGEKLASSE = 1</v>
      </c>
      <c r="O25" t="str">
        <f t="shared" si="3"/>
        <v xml:space="preserve"> AND UV_GRUNDVERSICHERUNG IN (1,2,3,4)</v>
      </c>
      <c r="Q25" s="39" t="str">
        <f t="shared" si="5"/>
        <v>IF UV_TARIF = 4 AND UV_LIEGEKLASSE = 1 AND UV_GRUNDVERSICHERUNG IN (1,2,3,4) THEN col = '23';</v>
      </c>
    </row>
    <row r="26" spans="1:17" x14ac:dyDescent="0.2">
      <c r="A26" s="28">
        <v>24</v>
      </c>
      <c r="B26" t="s">
        <v>12</v>
      </c>
      <c r="C26" t="s">
        <v>218</v>
      </c>
      <c r="D26" t="s">
        <v>303</v>
      </c>
      <c r="E26" s="22">
        <v>1</v>
      </c>
      <c r="F26" s="22" t="s">
        <v>7</v>
      </c>
      <c r="G26" s="22">
        <v>4</v>
      </c>
      <c r="H26" s="22" t="s">
        <v>9</v>
      </c>
      <c r="I26" s="22" t="s">
        <v>145</v>
      </c>
      <c r="J26" s="40"/>
      <c r="K26" t="str">
        <f t="shared" si="0"/>
        <v>UV_KTR_TYP = 1</v>
      </c>
      <c r="L26" t="str">
        <f t="shared" si="1"/>
        <v xml:space="preserve"> AND UV_ABC_FALL = 'A'</v>
      </c>
      <c r="M26" t="str">
        <f t="shared" si="2"/>
        <v>UV_TARIF = 4</v>
      </c>
      <c r="N26" t="str">
        <f t="shared" si="3"/>
        <v xml:space="preserve"> AND UV_LIEGEKLASSE IN (2,3)</v>
      </c>
      <c r="O26" t="str">
        <f t="shared" si="3"/>
        <v xml:space="preserve"> AND UV_GRUNDVERSICHERUNG IN (1,2,3,4)</v>
      </c>
      <c r="Q26" s="39" t="str">
        <f t="shared" si="5"/>
        <v>IF UV_TARIF = 4 AND UV_LIEGEKLASSE IN (2,3) AND UV_GRUNDVERSICHERUNG IN (1,2,3,4) THEN col = '24';</v>
      </c>
    </row>
    <row r="27" spans="1:17" x14ac:dyDescent="0.2">
      <c r="A27" s="28">
        <v>25</v>
      </c>
      <c r="B27" t="s">
        <v>19</v>
      </c>
      <c r="C27" t="s">
        <v>219</v>
      </c>
      <c r="D27" t="s">
        <v>304</v>
      </c>
      <c r="E27" s="22">
        <v>1</v>
      </c>
      <c r="F27" s="22" t="s">
        <v>7</v>
      </c>
      <c r="G27" s="22">
        <v>5</v>
      </c>
      <c r="H27" s="22">
        <v>1</v>
      </c>
      <c r="I27" s="22">
        <v>1</v>
      </c>
      <c r="K27" t="str">
        <f t="shared" si="0"/>
        <v>UV_KTR_TYP = 1</v>
      </c>
      <c r="L27" t="str">
        <f t="shared" si="1"/>
        <v xml:space="preserve"> AND UV_ABC_FALL = 'A'</v>
      </c>
      <c r="M27" t="str">
        <f t="shared" si="2"/>
        <v>UV_TARIF = 5</v>
      </c>
      <c r="N27" t="str">
        <f t="shared" ref="N27:O33" si="7">IF(H27 = "","",IF(ISERR(FIND(",",H27))," AND " &amp; H$1&amp;" = "&amp; H27, " AND " &amp; H$1&amp;" IN ("&amp; H27&amp;")"))</f>
        <v xml:space="preserve"> AND UV_LIEGEKLASSE = 1</v>
      </c>
      <c r="O27" t="str">
        <f t="shared" si="7"/>
        <v xml:space="preserve"> AND UV_GRUNDVERSICHERUNG = 1</v>
      </c>
      <c r="P27" t="str">
        <f t="shared" ref="P27:P31" si="8">IF(J27="",""," AND " &amp; J27&amp;"(" &amp; J$1 &amp; ")")</f>
        <v/>
      </c>
      <c r="Q27" s="39" t="str">
        <f t="shared" si="5"/>
        <v>IF UV_TARIF = 5 AND UV_LIEGEKLASSE = 1 AND UV_GRUNDVERSICHERUNG = 1 THEN col = '25';</v>
      </c>
    </row>
    <row r="28" spans="1:17" x14ac:dyDescent="0.2">
      <c r="A28" s="28">
        <v>26</v>
      </c>
      <c r="B28" t="s">
        <v>20</v>
      </c>
      <c r="C28" t="s">
        <v>220</v>
      </c>
      <c r="D28" t="s">
        <v>305</v>
      </c>
      <c r="E28" s="22">
        <v>1</v>
      </c>
      <c r="F28" s="22" t="s">
        <v>7</v>
      </c>
      <c r="G28" s="22">
        <v>5</v>
      </c>
      <c r="H28" s="22" t="s">
        <v>9</v>
      </c>
      <c r="I28" s="22">
        <v>1</v>
      </c>
      <c r="K28" t="str">
        <f t="shared" si="0"/>
        <v>UV_KTR_TYP = 1</v>
      </c>
      <c r="L28" t="str">
        <f t="shared" si="1"/>
        <v xml:space="preserve"> AND UV_ABC_FALL = 'A'</v>
      </c>
      <c r="M28" t="str">
        <f t="shared" si="2"/>
        <v>UV_TARIF = 5</v>
      </c>
      <c r="N28" t="str">
        <f t="shared" si="7"/>
        <v xml:space="preserve"> AND UV_LIEGEKLASSE IN (2,3)</v>
      </c>
      <c r="O28" t="str">
        <f t="shared" si="7"/>
        <v xml:space="preserve"> AND UV_GRUNDVERSICHERUNG = 1</v>
      </c>
      <c r="P28" t="str">
        <f t="shared" si="8"/>
        <v/>
      </c>
      <c r="Q28" s="39" t="str">
        <f t="shared" si="5"/>
        <v>IF UV_TARIF = 5 AND UV_LIEGEKLASSE IN (2,3) AND UV_GRUNDVERSICHERUNG = 1 THEN col = '26';</v>
      </c>
    </row>
    <row r="29" spans="1:17" x14ac:dyDescent="0.2">
      <c r="A29" s="28">
        <v>27</v>
      </c>
      <c r="B29" t="s">
        <v>21</v>
      </c>
      <c r="C29" t="s">
        <v>221</v>
      </c>
      <c r="D29" t="s">
        <v>306</v>
      </c>
      <c r="E29" s="22">
        <v>1</v>
      </c>
      <c r="F29" s="22" t="s">
        <v>7</v>
      </c>
      <c r="G29" s="22">
        <v>5</v>
      </c>
      <c r="H29" s="22">
        <v>1</v>
      </c>
      <c r="I29" s="22" t="s">
        <v>10</v>
      </c>
      <c r="K29" t="str">
        <f t="shared" si="0"/>
        <v>UV_KTR_TYP = 1</v>
      </c>
      <c r="L29" t="str">
        <f t="shared" si="1"/>
        <v xml:space="preserve"> AND UV_ABC_FALL = 'A'</v>
      </c>
      <c r="M29" t="str">
        <f t="shared" si="2"/>
        <v>UV_TARIF = 5</v>
      </c>
      <c r="N29" t="str">
        <f t="shared" si="7"/>
        <v xml:space="preserve"> AND UV_LIEGEKLASSE = 1</v>
      </c>
      <c r="O29" t="str">
        <f t="shared" si="7"/>
        <v xml:space="preserve"> AND UV_GRUNDVERSICHERUNG IN (2,3,4)</v>
      </c>
      <c r="P29" t="str">
        <f t="shared" si="8"/>
        <v/>
      </c>
      <c r="Q29" s="39" t="str">
        <f t="shared" si="5"/>
        <v>IF UV_TARIF = 5 AND UV_LIEGEKLASSE = 1 AND UV_GRUNDVERSICHERUNG IN (2,3,4) THEN col = '27';</v>
      </c>
    </row>
    <row r="30" spans="1:17" x14ac:dyDescent="0.2">
      <c r="A30" s="28">
        <v>28</v>
      </c>
      <c r="B30" t="s">
        <v>22</v>
      </c>
      <c r="C30" t="s">
        <v>222</v>
      </c>
      <c r="D30" t="s">
        <v>307</v>
      </c>
      <c r="E30" s="22">
        <v>1</v>
      </c>
      <c r="F30" s="22" t="s">
        <v>7</v>
      </c>
      <c r="G30" s="22">
        <v>5</v>
      </c>
      <c r="H30" s="22" t="s">
        <v>9</v>
      </c>
      <c r="I30" s="22" t="s">
        <v>10</v>
      </c>
      <c r="K30" t="str">
        <f t="shared" si="0"/>
        <v>UV_KTR_TYP = 1</v>
      </c>
      <c r="L30" t="str">
        <f t="shared" si="1"/>
        <v xml:space="preserve"> AND UV_ABC_FALL = 'A'</v>
      </c>
      <c r="M30" t="str">
        <f t="shared" si="2"/>
        <v>UV_TARIF = 5</v>
      </c>
      <c r="N30" t="str">
        <f t="shared" si="7"/>
        <v xml:space="preserve"> AND UV_LIEGEKLASSE IN (2,3)</v>
      </c>
      <c r="O30" t="str">
        <f t="shared" si="7"/>
        <v xml:space="preserve"> AND UV_GRUNDVERSICHERUNG IN (2,3,4)</v>
      </c>
      <c r="P30" t="str">
        <f t="shared" si="8"/>
        <v/>
      </c>
      <c r="Q30" s="39" t="str">
        <f t="shared" si="5"/>
        <v>IF UV_TARIF = 5 AND UV_LIEGEKLASSE IN (2,3) AND UV_GRUNDVERSICHERUNG IN (2,3,4) THEN col = '28';</v>
      </c>
    </row>
    <row r="31" spans="1:17" x14ac:dyDescent="0.2">
      <c r="A31" s="28">
        <v>29</v>
      </c>
      <c r="B31" t="s">
        <v>23</v>
      </c>
      <c r="C31" t="s">
        <v>223</v>
      </c>
      <c r="D31" t="s">
        <v>308</v>
      </c>
      <c r="E31" s="22">
        <v>1</v>
      </c>
      <c r="F31" s="22" t="s">
        <v>7</v>
      </c>
      <c r="G31" s="22" t="s">
        <v>356</v>
      </c>
      <c r="H31" s="22" t="s">
        <v>13</v>
      </c>
      <c r="I31" s="22" t="s">
        <v>14</v>
      </c>
      <c r="K31" t="str">
        <f t="shared" si="0"/>
        <v>UV_KTR_TYP = 1</v>
      </c>
      <c r="L31" t="str">
        <f t="shared" si="1"/>
        <v xml:space="preserve"> AND UV_ABC_FALL = 'A'</v>
      </c>
      <c r="M31" t="str">
        <f t="shared" si="2"/>
        <v>UV_TARIF IN (5,6)</v>
      </c>
      <c r="N31" t="str">
        <f t="shared" si="7"/>
        <v xml:space="preserve"> AND UV_LIEGEKLASSE IN (1,2,3)</v>
      </c>
      <c r="O31" t="str">
        <f t="shared" si="7"/>
        <v xml:space="preserve"> AND UV_GRUNDVERSICHERUNG IN (5,8)</v>
      </c>
      <c r="P31" t="str">
        <f t="shared" si="8"/>
        <v/>
      </c>
      <c r="Q31" s="39" t="str">
        <f t="shared" si="5"/>
        <v>IF UV_TARIF IN (5,6) AND UV_LIEGEKLASSE IN (1,2,3) AND UV_GRUNDVERSICHERUNG IN (5,8) THEN col = '29';</v>
      </c>
    </row>
    <row r="32" spans="1:17" x14ac:dyDescent="0.2">
      <c r="A32" s="28">
        <v>30</v>
      </c>
      <c r="B32" t="s">
        <v>11</v>
      </c>
      <c r="C32" t="s">
        <v>217</v>
      </c>
      <c r="D32" t="s">
        <v>302</v>
      </c>
      <c r="E32" s="22">
        <v>1</v>
      </c>
      <c r="F32" s="22" t="s">
        <v>7</v>
      </c>
      <c r="G32" s="22">
        <v>6</v>
      </c>
      <c r="H32" s="22">
        <v>1</v>
      </c>
      <c r="I32" s="22" t="s">
        <v>145</v>
      </c>
      <c r="J32" s="40"/>
      <c r="K32" t="str">
        <f t="shared" si="0"/>
        <v>UV_KTR_TYP = 1</v>
      </c>
      <c r="L32" t="str">
        <f t="shared" si="1"/>
        <v xml:space="preserve"> AND UV_ABC_FALL = 'A'</v>
      </c>
      <c r="M32" t="str">
        <f t="shared" si="2"/>
        <v>UV_TARIF = 6</v>
      </c>
      <c r="N32" t="str">
        <f t="shared" si="7"/>
        <v xml:space="preserve"> AND UV_LIEGEKLASSE = 1</v>
      </c>
      <c r="O32" t="str">
        <f t="shared" si="7"/>
        <v xml:space="preserve"> AND UV_GRUNDVERSICHERUNG IN (1,2,3,4)</v>
      </c>
      <c r="Q32" s="39" t="str">
        <f t="shared" si="5"/>
        <v>IF UV_TARIF = 6 AND UV_LIEGEKLASSE = 1 AND UV_GRUNDVERSICHERUNG IN (1,2,3,4) THEN col = '30';</v>
      </c>
    </row>
    <row r="33" spans="1:17" x14ac:dyDescent="0.2">
      <c r="A33" s="28">
        <v>31</v>
      </c>
      <c r="B33" t="s">
        <v>12</v>
      </c>
      <c r="C33" t="s">
        <v>218</v>
      </c>
      <c r="D33" t="s">
        <v>303</v>
      </c>
      <c r="E33" s="22">
        <v>1</v>
      </c>
      <c r="F33" s="22" t="s">
        <v>7</v>
      </c>
      <c r="G33" s="22">
        <v>6</v>
      </c>
      <c r="H33" s="22" t="s">
        <v>9</v>
      </c>
      <c r="I33" s="22" t="s">
        <v>145</v>
      </c>
      <c r="J33" s="40"/>
      <c r="K33" t="str">
        <f t="shared" si="0"/>
        <v>UV_KTR_TYP = 1</v>
      </c>
      <c r="L33" t="str">
        <f t="shared" si="1"/>
        <v xml:space="preserve"> AND UV_ABC_FALL = 'A'</v>
      </c>
      <c r="M33" t="str">
        <f t="shared" si="2"/>
        <v>UV_TARIF = 6</v>
      </c>
      <c r="N33" t="str">
        <f t="shared" si="7"/>
        <v xml:space="preserve"> AND UV_LIEGEKLASSE IN (2,3)</v>
      </c>
      <c r="O33" t="str">
        <f t="shared" si="7"/>
        <v xml:space="preserve"> AND UV_GRUNDVERSICHERUNG IN (1,2,3,4)</v>
      </c>
      <c r="Q33" s="39" t="str">
        <f t="shared" si="5"/>
        <v>IF UV_TARIF = 6 AND UV_LIEGEKLASSE IN (2,3) AND UV_GRUNDVERSICHERUNG IN (1,2,3,4) THEN col = '31';</v>
      </c>
    </row>
    <row r="34" spans="1:17" s="36" customFormat="1" x14ac:dyDescent="0.2">
      <c r="A34" s="53">
        <v>30</v>
      </c>
      <c r="B34" s="36" t="s">
        <v>11</v>
      </c>
      <c r="C34" s="36" t="s">
        <v>217</v>
      </c>
      <c r="D34" s="36" t="s">
        <v>302</v>
      </c>
      <c r="E34" s="33">
        <v>1</v>
      </c>
      <c r="F34" s="33" t="s">
        <v>7</v>
      </c>
      <c r="G34" s="33" t="s">
        <v>202</v>
      </c>
      <c r="H34" s="33">
        <v>1</v>
      </c>
      <c r="I34" s="33" t="s">
        <v>59</v>
      </c>
      <c r="J34" s="33" t="s">
        <v>364</v>
      </c>
      <c r="K34" s="36" t="str">
        <f t="shared" ref="K34:K35" si="9">IF(E34 = "","",IF(ISERR(FIND(",",E34)),E$1&amp;" = "&amp; E34,E$1&amp;" IN ("&amp; E34&amp;")"))</f>
        <v>UV_KTR_TYP = 1</v>
      </c>
      <c r="L34" s="36" t="str">
        <f t="shared" ref="L34:L35" si="10">IF(F34 = "","",IF(ISERR(FIND(",",F34))," AND " &amp; F$1&amp;" = '"&amp; F34&amp;"'", " AND " &amp; F$1&amp;" IN ("&amp; F34&amp;")"))</f>
        <v xml:space="preserve"> AND UV_ABC_FALL = 'A'</v>
      </c>
      <c r="M34" s="36" t="str">
        <f t="shared" ref="M34:M35" si="11">IF(G34 = "","",IF(ISERR(FIND(",",G34)),G$1&amp;" = "&amp; G34, G$1&amp;" IN ("&amp; G34&amp;")"))</f>
        <v>UV_TARIF IN (1,2,3,4,5,6,7)</v>
      </c>
      <c r="N34" s="36" t="str">
        <f t="shared" ref="N34:N35" si="12">IF(H34 = "","",IF(ISERR(FIND(",",H34))," AND " &amp; H$1&amp;" = "&amp; H34, " AND " &amp; H$1&amp;" IN ("&amp; H34&amp;")"))</f>
        <v xml:space="preserve"> AND UV_LIEGEKLASSE = 1</v>
      </c>
      <c r="O34" s="36" t="str">
        <f t="shared" ref="O34:O35" si="13">IF(I34 = "","",IF(ISERR(FIND(",",I34))," AND " &amp; I$1&amp;" = "&amp; I34, " AND " &amp; I$1&amp;" IN ("&amp; I34&amp;")"))</f>
        <v xml:space="preserve"> AND UV_GRUNDVERSICHERUNG IN (1,2,3,4,5,8)</v>
      </c>
      <c r="P34" s="36" t="str">
        <f t="shared" ref="P34:P35" si="14">IF(J34 = "","",IF(ISERR(FIND(",",J34))," AND " &amp; J$1&amp;" = '"&amp; J34&amp;"'", " AND " &amp; J$1&amp;" IN ("&amp; J34&amp;")"))</f>
        <v xml:space="preserve"> AND UV_KTR_BESCHR = 'FOR'</v>
      </c>
      <c r="Q34" s="37" t="str">
        <f t="shared" ref="Q34:Q35" si="15">"IF "&amp;M34&amp;N34&amp;O34&amp;P34&amp;" THEN col = '"&amp;A34&amp;"';"</f>
        <v>IF UV_TARIF IN (1,2,3,4,5,6,7) AND UV_LIEGEKLASSE = 1 AND UV_GRUNDVERSICHERUNG IN (1,2,3,4,5,8) AND UV_KTR_BESCHR = 'FOR' THEN col = '30';</v>
      </c>
    </row>
    <row r="35" spans="1:17" s="36" customFormat="1" x14ac:dyDescent="0.2">
      <c r="A35" s="53">
        <v>31</v>
      </c>
      <c r="B35" s="36" t="s">
        <v>12</v>
      </c>
      <c r="C35" s="36" t="s">
        <v>218</v>
      </c>
      <c r="D35" s="36" t="s">
        <v>303</v>
      </c>
      <c r="E35" s="33">
        <v>1</v>
      </c>
      <c r="F35" s="33" t="s">
        <v>7</v>
      </c>
      <c r="G35" s="33" t="s">
        <v>202</v>
      </c>
      <c r="H35" s="33" t="s">
        <v>9</v>
      </c>
      <c r="I35" s="33" t="s">
        <v>59</v>
      </c>
      <c r="J35" s="33" t="s">
        <v>364</v>
      </c>
      <c r="K35" s="36" t="str">
        <f t="shared" si="9"/>
        <v>UV_KTR_TYP = 1</v>
      </c>
      <c r="L35" s="36" t="str">
        <f t="shared" si="10"/>
        <v xml:space="preserve"> AND UV_ABC_FALL = 'A'</v>
      </c>
      <c r="M35" s="36" t="str">
        <f t="shared" si="11"/>
        <v>UV_TARIF IN (1,2,3,4,5,6,7)</v>
      </c>
      <c r="N35" s="36" t="str">
        <f t="shared" si="12"/>
        <v xml:space="preserve"> AND UV_LIEGEKLASSE IN (2,3)</v>
      </c>
      <c r="O35" s="36" t="str">
        <f t="shared" si="13"/>
        <v xml:space="preserve"> AND UV_GRUNDVERSICHERUNG IN (1,2,3,4,5,8)</v>
      </c>
      <c r="P35" s="36" t="str">
        <f t="shared" si="14"/>
        <v xml:space="preserve"> AND UV_KTR_BESCHR = 'FOR'</v>
      </c>
      <c r="Q35" s="37" t="str">
        <f t="shared" si="15"/>
        <v>IF UV_TARIF IN (1,2,3,4,5,6,7) AND UV_LIEGEKLASSE IN (2,3) AND UV_GRUNDVERSICHERUNG IN (1,2,3,4,5,8) AND UV_KTR_BESCHR = 'FOR' THEN col = '31';</v>
      </c>
    </row>
    <row r="36" spans="1:17" x14ac:dyDescent="0.2">
      <c r="A36" s="28">
        <v>32</v>
      </c>
      <c r="B36" t="s">
        <v>164</v>
      </c>
      <c r="C36" t="s">
        <v>224</v>
      </c>
      <c r="D36" t="s">
        <v>309</v>
      </c>
      <c r="E36" s="22">
        <v>1</v>
      </c>
      <c r="F36" s="22" t="s">
        <v>7</v>
      </c>
      <c r="G36" s="22">
        <v>7</v>
      </c>
      <c r="H36" s="22" t="s">
        <v>13</v>
      </c>
      <c r="I36" s="22" t="s">
        <v>59</v>
      </c>
      <c r="K36" t="str">
        <f t="shared" ref="K36" si="16">IF(E36 = "","",IF(ISERR(FIND(",",E36)),E$1&amp;" = "&amp; E36,E$1&amp;" IN ("&amp; E36&amp;")"))</f>
        <v>UV_KTR_TYP = 1</v>
      </c>
      <c r="L36" t="str">
        <f t="shared" ref="L36" si="17">IF(F36 = "","",IF(ISERR(FIND(",",F36))," AND " &amp; F$1&amp;" = '"&amp; F36&amp;"'", " AND " &amp; F$1&amp;" IN ("&amp; F36&amp;")"))</f>
        <v xml:space="preserve"> AND UV_ABC_FALL = 'A'</v>
      </c>
      <c r="M36" t="str">
        <f t="shared" ref="M36" si="18">IF(G36 = "","",IF(ISERR(FIND(",",G36)),G$1&amp;" = "&amp; G36, G$1&amp;" IN ("&amp; G36&amp;")"))</f>
        <v>UV_TARIF = 7</v>
      </c>
      <c r="N36" t="str">
        <f t="shared" ref="N36:O36" si="19">IF(H36 = "","",IF(ISERR(FIND(",",H36))," AND " &amp; H$1&amp;" = "&amp; H36, " AND " &amp; H$1&amp;" IN ("&amp; H36&amp;")"))</f>
        <v xml:space="preserve"> AND UV_LIEGEKLASSE IN (1,2,3)</v>
      </c>
      <c r="O36" t="str">
        <f t="shared" si="19"/>
        <v xml:space="preserve"> AND UV_GRUNDVERSICHERUNG IN (1,2,3,4,5,8)</v>
      </c>
      <c r="P36" t="str">
        <f t="shared" ref="P36" si="20">IF(J36="",""," AND " &amp; J36&amp;"(" &amp; J$1 &amp; ")")</f>
        <v/>
      </c>
      <c r="Q36" s="39" t="str">
        <f t="shared" ref="Q36" si="21">"IF "&amp;M36&amp;N36&amp;O36&amp;P36&amp;" THEN col = '"&amp;A36&amp;"';"</f>
        <v>IF UV_TARIF = 7 AND UV_LIEGEKLASSE IN (1,2,3) AND UV_GRUNDVERSICHERUNG IN (1,2,3,4,5,8) THEN col = '32';</v>
      </c>
    </row>
    <row r="37" spans="1:17" ht="15" x14ac:dyDescent="0.25">
      <c r="A37" s="29" t="s">
        <v>188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1"/>
    </row>
    <row r="38" spans="1:17" x14ac:dyDescent="0.2">
      <c r="A38" s="41">
        <v>32</v>
      </c>
      <c r="B38" s="42" t="s">
        <v>164</v>
      </c>
      <c r="C38" s="42" t="s">
        <v>224</v>
      </c>
      <c r="D38" s="42" t="s">
        <v>309</v>
      </c>
      <c r="E38" s="43">
        <v>101</v>
      </c>
      <c r="F38" s="43"/>
      <c r="G38" s="43"/>
      <c r="H38" s="43"/>
      <c r="I38" s="43"/>
      <c r="J38" s="43"/>
      <c r="K38" s="42" t="str">
        <f t="shared" ref="K38:K96" si="22">IF(E38 = "","",IF(ISERR(FIND(",",E38)),E$1&amp;" = "&amp; E38,E$1&amp;" IN ("&amp; E38&amp;")"))</f>
        <v>UV_KTR_TYP = 101</v>
      </c>
      <c r="L38" s="42"/>
      <c r="M38" s="42"/>
      <c r="N38" s="42"/>
      <c r="O38" s="42"/>
      <c r="P38" s="42"/>
      <c r="Q38" s="39" t="str">
        <f t="shared" ref="Q38:Q55" si="23">"IF "&amp;K38&amp;L38&amp;M38&amp;N38&amp;O38&amp;P38&amp;" THEN col = '"&amp;A38&amp;"';"</f>
        <v>IF UV_KTR_TYP = 101 THEN col = '32';</v>
      </c>
    </row>
    <row r="39" spans="1:17" hidden="1" x14ac:dyDescent="0.2">
      <c r="A39" s="44"/>
      <c r="B39" s="45" t="s">
        <v>165</v>
      </c>
      <c r="C39" s="45" t="s">
        <v>165</v>
      </c>
      <c r="D39" s="45"/>
      <c r="E39" s="46" t="s">
        <v>166</v>
      </c>
      <c r="F39" s="46"/>
      <c r="G39" s="46"/>
      <c r="H39" s="46"/>
      <c r="I39" s="46"/>
      <c r="J39" s="46"/>
      <c r="K39" s="45" t="str">
        <f t="shared" si="22"/>
        <v>UV_KTR_TYP = abandon</v>
      </c>
      <c r="L39" s="45"/>
      <c r="M39" s="45"/>
      <c r="N39" s="45"/>
      <c r="O39" s="45"/>
      <c r="P39" s="45"/>
      <c r="Q39" s="39" t="str">
        <f t="shared" si="23"/>
        <v>IF UV_KTR_TYP = abandon THEN col = '';</v>
      </c>
    </row>
    <row r="40" spans="1:17" x14ac:dyDescent="0.2">
      <c r="A40" s="47">
        <v>34</v>
      </c>
      <c r="B40" t="s">
        <v>50</v>
      </c>
      <c r="C40" t="s">
        <v>256</v>
      </c>
      <c r="D40" t="s">
        <v>310</v>
      </c>
      <c r="E40" s="22">
        <v>102</v>
      </c>
      <c r="K40" t="str">
        <f t="shared" si="22"/>
        <v>UV_KTR_TYP = 102</v>
      </c>
      <c r="Q40" s="39" t="str">
        <f t="shared" si="23"/>
        <v>IF UV_KTR_TYP = 102 THEN col = '34';</v>
      </c>
    </row>
    <row r="41" spans="1:17" x14ac:dyDescent="0.2">
      <c r="A41" s="47">
        <v>35</v>
      </c>
      <c r="B41" t="s">
        <v>24</v>
      </c>
      <c r="C41" t="s">
        <v>225</v>
      </c>
      <c r="D41" t="s">
        <v>311</v>
      </c>
      <c r="E41" s="22">
        <v>201</v>
      </c>
      <c r="K41" t="str">
        <f t="shared" si="22"/>
        <v>UV_KTR_TYP = 201</v>
      </c>
      <c r="Q41" s="39" t="str">
        <f t="shared" si="23"/>
        <v>IF UV_KTR_TYP = 201 THEN col = '35';</v>
      </c>
    </row>
    <row r="42" spans="1:17" x14ac:dyDescent="0.2">
      <c r="A42" s="47">
        <v>36</v>
      </c>
      <c r="B42" t="s">
        <v>25</v>
      </c>
      <c r="C42" t="s">
        <v>226</v>
      </c>
      <c r="D42" t="s">
        <v>312</v>
      </c>
      <c r="E42" s="22">
        <v>202</v>
      </c>
      <c r="K42" t="str">
        <f t="shared" si="22"/>
        <v>UV_KTR_TYP = 202</v>
      </c>
      <c r="Q42" s="39" t="str">
        <f t="shared" si="23"/>
        <v>IF UV_KTR_TYP = 202 THEN col = '36';</v>
      </c>
    </row>
    <row r="43" spans="1:17" x14ac:dyDescent="0.2">
      <c r="A43" s="47">
        <v>37</v>
      </c>
      <c r="B43" t="s">
        <v>26</v>
      </c>
      <c r="C43" t="s">
        <v>227</v>
      </c>
      <c r="D43" t="s">
        <v>313</v>
      </c>
      <c r="E43" s="22">
        <v>203</v>
      </c>
      <c r="K43" t="str">
        <f t="shared" si="22"/>
        <v>UV_KTR_TYP = 203</v>
      </c>
      <c r="Q43" s="39" t="str">
        <f t="shared" si="23"/>
        <v>IF UV_KTR_TYP = 203 THEN col = '37';</v>
      </c>
    </row>
    <row r="44" spans="1:17" x14ac:dyDescent="0.2">
      <c r="A44" s="47">
        <v>38</v>
      </c>
      <c r="B44" t="s">
        <v>27</v>
      </c>
      <c r="C44" t="s">
        <v>228</v>
      </c>
      <c r="D44" t="s">
        <v>314</v>
      </c>
      <c r="E44" s="22">
        <v>204</v>
      </c>
      <c r="K44" t="str">
        <f t="shared" si="22"/>
        <v>UV_KTR_TYP = 204</v>
      </c>
      <c r="Q44" s="39" t="str">
        <f t="shared" si="23"/>
        <v>IF UV_KTR_TYP = 204 THEN col = '38';</v>
      </c>
    </row>
    <row r="45" spans="1:17" x14ac:dyDescent="0.2">
      <c r="A45" s="47">
        <v>39</v>
      </c>
      <c r="B45" t="s">
        <v>28</v>
      </c>
      <c r="C45" t="s">
        <v>229</v>
      </c>
      <c r="D45" t="s">
        <v>315</v>
      </c>
      <c r="E45" s="22">
        <v>205</v>
      </c>
      <c r="K45" t="str">
        <f t="shared" si="22"/>
        <v>UV_KTR_TYP = 205</v>
      </c>
      <c r="Q45" s="39" t="str">
        <f t="shared" si="23"/>
        <v>IF UV_KTR_TYP = 205 THEN col = '39';</v>
      </c>
    </row>
    <row r="46" spans="1:17" x14ac:dyDescent="0.2">
      <c r="A46" s="47">
        <v>40</v>
      </c>
      <c r="B46" t="s">
        <v>29</v>
      </c>
      <c r="C46" t="s">
        <v>230</v>
      </c>
      <c r="D46" t="s">
        <v>316</v>
      </c>
      <c r="E46" s="22">
        <v>206</v>
      </c>
      <c r="K46" t="str">
        <f t="shared" si="22"/>
        <v>UV_KTR_TYP = 206</v>
      </c>
      <c r="Q46" s="39" t="str">
        <f t="shared" si="23"/>
        <v>IF UV_KTR_TYP = 206 THEN col = '40';</v>
      </c>
    </row>
    <row r="47" spans="1:17" x14ac:dyDescent="0.2">
      <c r="A47" s="47">
        <v>41</v>
      </c>
      <c r="B47" t="s">
        <v>30</v>
      </c>
      <c r="C47" t="s">
        <v>231</v>
      </c>
      <c r="D47" t="s">
        <v>317</v>
      </c>
      <c r="E47" s="22">
        <v>207</v>
      </c>
      <c r="K47" t="str">
        <f t="shared" si="22"/>
        <v>UV_KTR_TYP = 207</v>
      </c>
      <c r="Q47" s="39" t="str">
        <f t="shared" si="23"/>
        <v>IF UV_KTR_TYP = 207 THEN col = '41';</v>
      </c>
    </row>
    <row r="48" spans="1:17" x14ac:dyDescent="0.2">
      <c r="A48" s="47">
        <v>42</v>
      </c>
      <c r="B48" t="s">
        <v>31</v>
      </c>
      <c r="C48" t="s">
        <v>232</v>
      </c>
      <c r="D48" t="s">
        <v>318</v>
      </c>
      <c r="E48" s="22">
        <v>291</v>
      </c>
      <c r="K48" t="str">
        <f t="shared" si="22"/>
        <v>UV_KTR_TYP = 291</v>
      </c>
      <c r="Q48" s="39" t="str">
        <f t="shared" si="23"/>
        <v>IF UV_KTR_TYP = 291 THEN col = '42';</v>
      </c>
    </row>
    <row r="49" spans="1:17" x14ac:dyDescent="0.2">
      <c r="A49" s="47">
        <v>43</v>
      </c>
      <c r="B49" t="s">
        <v>31</v>
      </c>
      <c r="C49" t="s">
        <v>232</v>
      </c>
      <c r="D49" t="s">
        <v>318</v>
      </c>
      <c r="E49" s="22">
        <v>292</v>
      </c>
      <c r="K49" t="str">
        <f t="shared" si="22"/>
        <v>UV_KTR_TYP = 292</v>
      </c>
      <c r="Q49" s="39" t="str">
        <f t="shared" si="23"/>
        <v>IF UV_KTR_TYP = 292 THEN col = '43';</v>
      </c>
    </row>
    <row r="50" spans="1:17" x14ac:dyDescent="0.2">
      <c r="A50" s="47">
        <v>44</v>
      </c>
      <c r="B50" t="s">
        <v>31</v>
      </c>
      <c r="C50" t="s">
        <v>232</v>
      </c>
      <c r="D50" t="s">
        <v>318</v>
      </c>
      <c r="E50" s="22">
        <v>293</v>
      </c>
      <c r="K50" t="str">
        <f t="shared" si="22"/>
        <v>UV_KTR_TYP = 293</v>
      </c>
      <c r="Q50" s="39" t="str">
        <f t="shared" si="23"/>
        <v>IF UV_KTR_TYP = 293 THEN col = '44';</v>
      </c>
    </row>
    <row r="51" spans="1:17" x14ac:dyDescent="0.2">
      <c r="A51" s="47">
        <v>45</v>
      </c>
      <c r="B51" t="s">
        <v>31</v>
      </c>
      <c r="C51" t="s">
        <v>232</v>
      </c>
      <c r="D51" t="s">
        <v>318</v>
      </c>
      <c r="E51" s="22">
        <v>294</v>
      </c>
      <c r="K51" t="str">
        <f t="shared" si="22"/>
        <v>UV_KTR_TYP = 294</v>
      </c>
      <c r="Q51" s="39" t="str">
        <f t="shared" si="23"/>
        <v>IF UV_KTR_TYP = 294 THEN col = '45';</v>
      </c>
    </row>
    <row r="52" spans="1:17" x14ac:dyDescent="0.2">
      <c r="A52" s="47">
        <v>46</v>
      </c>
      <c r="B52" t="s">
        <v>167</v>
      </c>
      <c r="C52" t="s">
        <v>167</v>
      </c>
      <c r="D52" t="s">
        <v>319</v>
      </c>
      <c r="E52" s="22">
        <v>251</v>
      </c>
      <c r="K52" t="str">
        <f t="shared" si="22"/>
        <v>UV_KTR_TYP = 251</v>
      </c>
      <c r="Q52" s="39" t="str">
        <f t="shared" si="23"/>
        <v>IF UV_KTR_TYP = 251 THEN col = '46';</v>
      </c>
    </row>
    <row r="53" spans="1:17" x14ac:dyDescent="0.2">
      <c r="A53" s="47">
        <v>47</v>
      </c>
      <c r="B53" t="s">
        <v>168</v>
      </c>
      <c r="C53" t="s">
        <v>168</v>
      </c>
      <c r="D53" t="s">
        <v>320</v>
      </c>
      <c r="E53" s="22">
        <v>252</v>
      </c>
      <c r="K53" t="str">
        <f t="shared" si="22"/>
        <v>UV_KTR_TYP = 252</v>
      </c>
      <c r="Q53" s="39" t="str">
        <f t="shared" si="23"/>
        <v>IF UV_KTR_TYP = 252 THEN col = '47';</v>
      </c>
    </row>
    <row r="54" spans="1:17" x14ac:dyDescent="0.2">
      <c r="A54" s="47">
        <v>48</v>
      </c>
      <c r="B54" t="s">
        <v>169</v>
      </c>
      <c r="C54" t="s">
        <v>169</v>
      </c>
      <c r="D54" t="s">
        <v>321</v>
      </c>
      <c r="E54" s="22">
        <v>253</v>
      </c>
      <c r="K54" t="str">
        <f t="shared" si="22"/>
        <v>UV_KTR_TYP = 253</v>
      </c>
      <c r="Q54" s="39" t="str">
        <f t="shared" si="23"/>
        <v>IF UV_KTR_TYP = 253 THEN col = '48';</v>
      </c>
    </row>
    <row r="55" spans="1:17" x14ac:dyDescent="0.2">
      <c r="A55" s="47">
        <v>49</v>
      </c>
      <c r="B55" t="s">
        <v>32</v>
      </c>
      <c r="C55" t="s">
        <v>233</v>
      </c>
      <c r="D55" t="s">
        <v>322</v>
      </c>
      <c r="E55" s="22" t="s">
        <v>33</v>
      </c>
      <c r="K55" t="str">
        <f t="shared" si="22"/>
        <v>UV_KTR_TYP IN (601,602,603)</v>
      </c>
      <c r="Q55" s="39" t="str">
        <f t="shared" si="23"/>
        <v>IF UV_KTR_TYP IN (601,602,603) THEN col = '49';</v>
      </c>
    </row>
    <row r="56" spans="1:17" x14ac:dyDescent="0.2">
      <c r="A56" s="47">
        <v>50</v>
      </c>
      <c r="B56" t="s">
        <v>74</v>
      </c>
      <c r="C56" t="s">
        <v>234</v>
      </c>
      <c r="D56" t="s">
        <v>323</v>
      </c>
      <c r="E56" s="22" t="s">
        <v>34</v>
      </c>
      <c r="K56" t="str">
        <f t="shared" si="22"/>
        <v>UV_KTR_TYP IN (5**,7**)</v>
      </c>
      <c r="Q56" s="39" t="s">
        <v>190</v>
      </c>
    </row>
    <row r="57" spans="1:17" x14ac:dyDescent="0.2">
      <c r="A57" s="47">
        <v>51</v>
      </c>
      <c r="B57" t="s">
        <v>35</v>
      </c>
      <c r="C57" t="s">
        <v>235</v>
      </c>
      <c r="D57" t="s">
        <v>324</v>
      </c>
      <c r="E57" s="22">
        <v>801</v>
      </c>
      <c r="K57" t="str">
        <f t="shared" si="22"/>
        <v>UV_KTR_TYP = 801</v>
      </c>
      <c r="Q57" s="39" t="str">
        <f t="shared" ref="Q57:Q63" si="24">"IF "&amp;K57&amp;L57&amp;M57&amp;N57&amp;O57&amp;P57&amp;" THEN col = '"&amp;A57&amp;"';"</f>
        <v>IF UV_KTR_TYP = 801 THEN col = '51';</v>
      </c>
    </row>
    <row r="58" spans="1:17" s="35" customFormat="1" x14ac:dyDescent="0.2">
      <c r="A58" s="51">
        <v>52</v>
      </c>
      <c r="B58" s="35" t="s">
        <v>170</v>
      </c>
      <c r="C58" s="35" t="s">
        <v>257</v>
      </c>
      <c r="D58" s="35" t="s">
        <v>325</v>
      </c>
      <c r="E58" s="32">
        <v>301</v>
      </c>
      <c r="F58" s="32"/>
      <c r="G58" s="32"/>
      <c r="H58" s="32"/>
      <c r="I58" s="32"/>
      <c r="J58" s="32"/>
      <c r="K58" s="35" t="str">
        <f t="shared" si="22"/>
        <v>UV_KTR_TYP = 301</v>
      </c>
      <c r="Q58" s="34" t="str">
        <f t="shared" si="24"/>
        <v>IF UV_KTR_TYP = 301 THEN col = '52';</v>
      </c>
    </row>
    <row r="59" spans="1:17" s="35" customFormat="1" x14ac:dyDescent="0.2">
      <c r="A59" s="51">
        <v>53</v>
      </c>
      <c r="B59" s="35" t="s">
        <v>171</v>
      </c>
      <c r="C59" s="35" t="s">
        <v>258</v>
      </c>
      <c r="D59" s="35" t="s">
        <v>326</v>
      </c>
      <c r="E59" s="32">
        <v>302</v>
      </c>
      <c r="F59" s="32"/>
      <c r="G59" s="32"/>
      <c r="H59" s="32"/>
      <c r="I59" s="32"/>
      <c r="J59" s="32"/>
      <c r="K59" s="35" t="str">
        <f t="shared" si="22"/>
        <v>UV_KTR_TYP = 302</v>
      </c>
      <c r="Q59" s="34" t="str">
        <f t="shared" si="24"/>
        <v>IF UV_KTR_TYP = 302 THEN col = '53';</v>
      </c>
    </row>
    <row r="60" spans="1:17" s="35" customFormat="1" x14ac:dyDescent="0.2">
      <c r="A60" s="51">
        <v>54</v>
      </c>
      <c r="B60" s="35" t="s">
        <v>172</v>
      </c>
      <c r="C60" s="35" t="s">
        <v>259</v>
      </c>
      <c r="D60" s="35" t="s">
        <v>327</v>
      </c>
      <c r="E60" s="32">
        <v>303</v>
      </c>
      <c r="F60" s="32"/>
      <c r="G60" s="32"/>
      <c r="H60" s="32"/>
      <c r="I60" s="32"/>
      <c r="J60" s="32"/>
      <c r="K60" s="35" t="str">
        <f t="shared" si="22"/>
        <v>UV_KTR_TYP = 303</v>
      </c>
      <c r="Q60" s="34" t="str">
        <f t="shared" si="24"/>
        <v>IF UV_KTR_TYP = 303 THEN col = '54';</v>
      </c>
    </row>
    <row r="61" spans="1:17" s="36" customFormat="1" x14ac:dyDescent="0.2">
      <c r="A61" s="38">
        <v>100</v>
      </c>
      <c r="B61" s="36" t="s">
        <v>357</v>
      </c>
      <c r="C61" s="36" t="s">
        <v>365</v>
      </c>
      <c r="D61" s="36" t="s">
        <v>371</v>
      </c>
      <c r="E61" s="33">
        <v>330</v>
      </c>
      <c r="F61" s="33"/>
      <c r="G61" s="33"/>
      <c r="H61" s="33"/>
      <c r="I61" s="33"/>
      <c r="J61" s="33"/>
      <c r="K61" s="36" t="str">
        <f t="shared" si="22"/>
        <v>UV_KTR_TYP = 330</v>
      </c>
      <c r="Q61" s="37" t="str">
        <f t="shared" si="24"/>
        <v>IF UV_KTR_TYP = 330 THEN col = '100';</v>
      </c>
    </row>
    <row r="62" spans="1:17" s="36" customFormat="1" x14ac:dyDescent="0.2">
      <c r="A62" s="38">
        <v>101</v>
      </c>
      <c r="B62" s="36" t="s">
        <v>358</v>
      </c>
      <c r="C62" s="36" t="s">
        <v>366</v>
      </c>
      <c r="D62" s="36" t="s">
        <v>372</v>
      </c>
      <c r="E62" s="33">
        <v>331</v>
      </c>
      <c r="F62" s="33"/>
      <c r="G62" s="33"/>
      <c r="H62" s="33"/>
      <c r="I62" s="33"/>
      <c r="J62" s="33"/>
      <c r="K62" s="36" t="str">
        <f t="shared" si="22"/>
        <v>UV_KTR_TYP = 331</v>
      </c>
      <c r="Q62" s="37" t="str">
        <f t="shared" si="24"/>
        <v>IF UV_KTR_TYP = 331 THEN col = '101';</v>
      </c>
    </row>
    <row r="63" spans="1:17" s="36" customFormat="1" x14ac:dyDescent="0.2">
      <c r="A63" s="38">
        <v>102</v>
      </c>
      <c r="B63" s="36" t="s">
        <v>359</v>
      </c>
      <c r="C63" s="36" t="s">
        <v>367</v>
      </c>
      <c r="D63" s="36" t="s">
        <v>373</v>
      </c>
      <c r="E63" s="33">
        <v>332</v>
      </c>
      <c r="F63" s="33"/>
      <c r="G63" s="33"/>
      <c r="H63" s="33"/>
      <c r="I63" s="33"/>
      <c r="J63" s="33"/>
      <c r="K63" s="36" t="str">
        <f t="shared" si="22"/>
        <v>UV_KTR_TYP = 332</v>
      </c>
      <c r="Q63" s="37" t="str">
        <f t="shared" si="24"/>
        <v>IF UV_KTR_TYP = 332 THEN col = '102';</v>
      </c>
    </row>
    <row r="64" spans="1:17" s="36" customFormat="1" x14ac:dyDescent="0.2">
      <c r="A64" s="38">
        <v>103</v>
      </c>
      <c r="B64" s="36" t="s">
        <v>360</v>
      </c>
      <c r="C64" s="36" t="s">
        <v>368</v>
      </c>
      <c r="D64" s="36" t="s">
        <v>374</v>
      </c>
      <c r="E64" s="33">
        <v>333</v>
      </c>
      <c r="F64" s="33"/>
      <c r="G64" s="33"/>
      <c r="H64" s="33"/>
      <c r="I64" s="33"/>
      <c r="J64" s="33"/>
      <c r="K64" s="36" t="str">
        <f t="shared" si="22"/>
        <v>UV_KTR_TYP = 333</v>
      </c>
      <c r="Q64" s="37" t="str">
        <f t="shared" ref="Q64:Q96" si="25">"IF "&amp;K64&amp;L64&amp;M64&amp;N64&amp;O64&amp;P64&amp;" THEN col = '"&amp;A64&amp;"';"</f>
        <v>IF UV_KTR_TYP = 333 THEN col = '103';</v>
      </c>
    </row>
    <row r="65" spans="1:17" s="36" customFormat="1" x14ac:dyDescent="0.2">
      <c r="A65" s="38">
        <v>104</v>
      </c>
      <c r="B65" s="36" t="s">
        <v>361</v>
      </c>
      <c r="C65" s="36" t="s">
        <v>369</v>
      </c>
      <c r="D65" s="36" t="s">
        <v>375</v>
      </c>
      <c r="E65" s="33">
        <v>334</v>
      </c>
      <c r="F65" s="33"/>
      <c r="G65" s="33"/>
      <c r="H65" s="33"/>
      <c r="I65" s="33"/>
      <c r="J65" s="33"/>
      <c r="K65" s="36" t="str">
        <f t="shared" si="22"/>
        <v>UV_KTR_TYP = 334</v>
      </c>
      <c r="Q65" s="37" t="str">
        <f t="shared" si="25"/>
        <v>IF UV_KTR_TYP = 334 THEN col = '104';</v>
      </c>
    </row>
    <row r="66" spans="1:17" s="36" customFormat="1" x14ac:dyDescent="0.2">
      <c r="A66" s="38">
        <v>105</v>
      </c>
      <c r="B66" s="36" t="s">
        <v>362</v>
      </c>
      <c r="C66" s="36" t="s">
        <v>370</v>
      </c>
      <c r="D66" s="36" t="s">
        <v>376</v>
      </c>
      <c r="E66" s="33">
        <v>335</v>
      </c>
      <c r="F66" s="33"/>
      <c r="G66" s="33"/>
      <c r="H66" s="33"/>
      <c r="I66" s="33"/>
      <c r="J66" s="33"/>
      <c r="K66" s="36" t="str">
        <f t="shared" si="22"/>
        <v>UV_KTR_TYP = 335</v>
      </c>
      <c r="Q66" s="37" t="str">
        <f t="shared" si="25"/>
        <v>IF UV_KTR_TYP = 335 THEN col = '105';</v>
      </c>
    </row>
    <row r="67" spans="1:17" x14ac:dyDescent="0.2">
      <c r="A67" s="47">
        <v>55</v>
      </c>
      <c r="B67" t="s">
        <v>184</v>
      </c>
      <c r="C67" t="s">
        <v>260</v>
      </c>
      <c r="D67" t="s">
        <v>328</v>
      </c>
      <c r="E67" s="22">
        <v>304</v>
      </c>
      <c r="K67" t="str">
        <f t="shared" si="22"/>
        <v>UV_KTR_TYP = 304</v>
      </c>
      <c r="Q67" s="39" t="str">
        <f t="shared" si="25"/>
        <v>IF UV_KTR_TYP = 304 THEN col = '55';</v>
      </c>
    </row>
    <row r="68" spans="1:17" x14ac:dyDescent="0.2">
      <c r="A68" s="47">
        <v>56</v>
      </c>
      <c r="B68" t="s">
        <v>173</v>
      </c>
      <c r="C68" t="s">
        <v>261</v>
      </c>
      <c r="D68" t="s">
        <v>329</v>
      </c>
      <c r="E68" s="22">
        <v>305</v>
      </c>
      <c r="K68" t="str">
        <f t="shared" si="22"/>
        <v>UV_KTR_TYP = 305</v>
      </c>
      <c r="Q68" s="39" t="str">
        <f t="shared" si="25"/>
        <v>IF UV_KTR_TYP = 305 THEN col = '56';</v>
      </c>
    </row>
    <row r="69" spans="1:17" x14ac:dyDescent="0.2">
      <c r="A69" s="47">
        <v>57</v>
      </c>
      <c r="B69" t="s">
        <v>174</v>
      </c>
      <c r="C69" t="s">
        <v>262</v>
      </c>
      <c r="D69" t="s">
        <v>330</v>
      </c>
      <c r="E69" s="22">
        <v>306</v>
      </c>
      <c r="K69" t="str">
        <f t="shared" si="22"/>
        <v>UV_KTR_TYP = 306</v>
      </c>
      <c r="Q69" s="39" t="str">
        <f t="shared" si="25"/>
        <v>IF UV_KTR_TYP = 306 THEN col = '57';</v>
      </c>
    </row>
    <row r="70" spans="1:17" x14ac:dyDescent="0.2">
      <c r="A70" s="47">
        <v>58</v>
      </c>
      <c r="B70" t="s">
        <v>175</v>
      </c>
      <c r="C70" t="s">
        <v>263</v>
      </c>
      <c r="D70" t="s">
        <v>331</v>
      </c>
      <c r="E70" s="22">
        <v>307</v>
      </c>
      <c r="K70" t="str">
        <f t="shared" si="22"/>
        <v>UV_KTR_TYP = 307</v>
      </c>
      <c r="Q70" s="39" t="str">
        <f t="shared" si="25"/>
        <v>IF UV_KTR_TYP = 307 THEN col = '58';</v>
      </c>
    </row>
    <row r="71" spans="1:17" x14ac:dyDescent="0.2">
      <c r="A71" s="47">
        <v>59</v>
      </c>
      <c r="B71" t="s">
        <v>176</v>
      </c>
      <c r="C71" t="s">
        <v>264</v>
      </c>
      <c r="D71" t="s">
        <v>332</v>
      </c>
      <c r="E71" s="22">
        <v>308</v>
      </c>
      <c r="K71" t="str">
        <f t="shared" si="22"/>
        <v>UV_KTR_TYP = 308</v>
      </c>
      <c r="Q71" s="39" t="str">
        <f t="shared" si="25"/>
        <v>IF UV_KTR_TYP = 308 THEN col = '59';</v>
      </c>
    </row>
    <row r="72" spans="1:17" x14ac:dyDescent="0.2">
      <c r="A72" s="47">
        <v>60</v>
      </c>
      <c r="B72" t="s">
        <v>177</v>
      </c>
      <c r="C72" t="s">
        <v>265</v>
      </c>
      <c r="D72" t="s">
        <v>333</v>
      </c>
      <c r="E72" s="22">
        <v>309</v>
      </c>
      <c r="K72" t="str">
        <f t="shared" si="22"/>
        <v>UV_KTR_TYP = 309</v>
      </c>
      <c r="Q72" s="39" t="str">
        <f t="shared" si="25"/>
        <v>IF UV_KTR_TYP = 309 THEN col = '60';</v>
      </c>
    </row>
    <row r="73" spans="1:17" x14ac:dyDescent="0.2">
      <c r="A73" s="47">
        <v>61</v>
      </c>
      <c r="B73" t="s">
        <v>178</v>
      </c>
      <c r="C73" t="s">
        <v>266</v>
      </c>
      <c r="D73" t="s">
        <v>334</v>
      </c>
      <c r="E73" s="22">
        <v>310</v>
      </c>
      <c r="K73" t="str">
        <f t="shared" si="22"/>
        <v>UV_KTR_TYP = 310</v>
      </c>
      <c r="Q73" s="39" t="str">
        <f t="shared" si="25"/>
        <v>IF UV_KTR_TYP = 310 THEN col = '61';</v>
      </c>
    </row>
    <row r="74" spans="1:17" x14ac:dyDescent="0.2">
      <c r="A74" s="47">
        <v>62</v>
      </c>
      <c r="B74" t="s">
        <v>36</v>
      </c>
      <c r="C74" t="s">
        <v>267</v>
      </c>
      <c r="D74" t="s">
        <v>335</v>
      </c>
      <c r="E74" s="22">
        <v>311</v>
      </c>
      <c r="K74" t="str">
        <f t="shared" si="22"/>
        <v>UV_KTR_TYP = 311</v>
      </c>
      <c r="Q74" s="39" t="str">
        <f t="shared" si="25"/>
        <v>IF UV_KTR_TYP = 311 THEN col = '62';</v>
      </c>
    </row>
    <row r="75" spans="1:17" x14ac:dyDescent="0.2">
      <c r="A75" s="47">
        <v>63</v>
      </c>
      <c r="B75" t="s">
        <v>37</v>
      </c>
      <c r="C75" t="s">
        <v>268</v>
      </c>
      <c r="D75" t="s">
        <v>336</v>
      </c>
      <c r="E75" s="22">
        <v>312</v>
      </c>
      <c r="K75" t="str">
        <f t="shared" si="22"/>
        <v>UV_KTR_TYP = 312</v>
      </c>
      <c r="Q75" s="39" t="str">
        <f t="shared" si="25"/>
        <v>IF UV_KTR_TYP = 312 THEN col = '63';</v>
      </c>
    </row>
    <row r="76" spans="1:17" x14ac:dyDescent="0.2">
      <c r="A76" s="47">
        <v>64</v>
      </c>
      <c r="B76" t="s">
        <v>38</v>
      </c>
      <c r="C76" t="s">
        <v>269</v>
      </c>
      <c r="D76" t="s">
        <v>337</v>
      </c>
      <c r="E76" s="22">
        <v>313</v>
      </c>
      <c r="K76" t="str">
        <f t="shared" si="22"/>
        <v>UV_KTR_TYP = 313</v>
      </c>
      <c r="Q76" s="39" t="str">
        <f t="shared" si="25"/>
        <v>IF UV_KTR_TYP = 313 THEN col = '64';</v>
      </c>
    </row>
    <row r="77" spans="1:17" x14ac:dyDescent="0.2">
      <c r="A77" s="47">
        <v>65</v>
      </c>
      <c r="B77" t="s">
        <v>39</v>
      </c>
      <c r="C77" t="s">
        <v>270</v>
      </c>
      <c r="D77" t="s">
        <v>338</v>
      </c>
      <c r="E77" s="22">
        <v>314</v>
      </c>
      <c r="K77" t="str">
        <f t="shared" si="22"/>
        <v>UV_KTR_TYP = 314</v>
      </c>
      <c r="Q77" s="39" t="str">
        <f t="shared" si="25"/>
        <v>IF UV_KTR_TYP = 314 THEN col = '65';</v>
      </c>
    </row>
    <row r="78" spans="1:17" x14ac:dyDescent="0.2">
      <c r="A78" s="47">
        <v>66</v>
      </c>
      <c r="B78" t="s">
        <v>40</v>
      </c>
      <c r="C78" t="s">
        <v>271</v>
      </c>
      <c r="D78" t="s">
        <v>339</v>
      </c>
      <c r="E78" s="22">
        <v>315</v>
      </c>
      <c r="K78" t="str">
        <f t="shared" si="22"/>
        <v>UV_KTR_TYP = 315</v>
      </c>
      <c r="Q78" s="39" t="str">
        <f t="shared" si="25"/>
        <v>IF UV_KTR_TYP = 315 THEN col = '66';</v>
      </c>
    </row>
    <row r="79" spans="1:17" x14ac:dyDescent="0.2">
      <c r="A79" s="47">
        <v>67</v>
      </c>
      <c r="B79" t="s">
        <v>41</v>
      </c>
      <c r="C79" t="s">
        <v>272</v>
      </c>
      <c r="D79" t="s">
        <v>340</v>
      </c>
      <c r="E79" s="22">
        <v>316</v>
      </c>
      <c r="K79" t="str">
        <f t="shared" si="22"/>
        <v>UV_KTR_TYP = 316</v>
      </c>
      <c r="Q79" s="39" t="str">
        <f t="shared" si="25"/>
        <v>IF UV_KTR_TYP = 316 THEN col = '67';</v>
      </c>
    </row>
    <row r="80" spans="1:17" x14ac:dyDescent="0.2">
      <c r="A80" s="47">
        <v>68</v>
      </c>
      <c r="B80" t="s">
        <v>42</v>
      </c>
      <c r="C80" t="s">
        <v>273</v>
      </c>
      <c r="D80" t="s">
        <v>341</v>
      </c>
      <c r="E80" s="22">
        <v>317</v>
      </c>
      <c r="K80" t="str">
        <f t="shared" si="22"/>
        <v>UV_KTR_TYP = 317</v>
      </c>
      <c r="Q80" s="39" t="str">
        <f t="shared" si="25"/>
        <v>IF UV_KTR_TYP = 317 THEN col = '68';</v>
      </c>
    </row>
    <row r="81" spans="1:17" x14ac:dyDescent="0.2">
      <c r="A81" s="47">
        <v>69</v>
      </c>
      <c r="B81" t="s">
        <v>43</v>
      </c>
      <c r="C81" t="s">
        <v>274</v>
      </c>
      <c r="D81" t="s">
        <v>342</v>
      </c>
      <c r="E81" s="22">
        <v>318</v>
      </c>
      <c r="K81" t="str">
        <f t="shared" si="22"/>
        <v>UV_KTR_TYP = 318</v>
      </c>
      <c r="Q81" s="39" t="str">
        <f t="shared" si="25"/>
        <v>IF UV_KTR_TYP = 318 THEN col = '69';</v>
      </c>
    </row>
    <row r="82" spans="1:17" x14ac:dyDescent="0.2">
      <c r="A82" s="47">
        <v>70</v>
      </c>
      <c r="B82" t="s">
        <v>44</v>
      </c>
      <c r="C82" t="s">
        <v>275</v>
      </c>
      <c r="D82" t="s">
        <v>343</v>
      </c>
      <c r="E82" s="22">
        <v>319</v>
      </c>
      <c r="K82" t="str">
        <f t="shared" si="22"/>
        <v>UV_KTR_TYP = 319</v>
      </c>
      <c r="Q82" s="39" t="str">
        <f t="shared" si="25"/>
        <v>IF UV_KTR_TYP = 319 THEN col = '70';</v>
      </c>
    </row>
    <row r="83" spans="1:17" x14ac:dyDescent="0.2">
      <c r="A83" s="47">
        <v>71</v>
      </c>
      <c r="B83" t="s">
        <v>191</v>
      </c>
      <c r="C83" t="s">
        <v>191</v>
      </c>
      <c r="D83" t="s">
        <v>344</v>
      </c>
      <c r="E83" s="22">
        <v>320</v>
      </c>
      <c r="K83" t="str">
        <f t="shared" si="22"/>
        <v>UV_KTR_TYP = 320</v>
      </c>
      <c r="Q83" s="39" t="str">
        <f t="shared" si="25"/>
        <v>IF UV_KTR_TYP = 320 THEN col = '71';</v>
      </c>
    </row>
    <row r="84" spans="1:17" x14ac:dyDescent="0.2">
      <c r="A84" s="47">
        <v>72</v>
      </c>
      <c r="B84" t="s">
        <v>179</v>
      </c>
      <c r="C84" t="s">
        <v>236</v>
      </c>
      <c r="D84" t="s">
        <v>345</v>
      </c>
      <c r="E84" s="22">
        <v>321</v>
      </c>
      <c r="K84" t="str">
        <f t="shared" si="22"/>
        <v>UV_KTR_TYP = 321</v>
      </c>
      <c r="Q84" s="39" t="str">
        <f t="shared" si="25"/>
        <v>IF UV_KTR_TYP = 321 THEN col = '72';</v>
      </c>
    </row>
    <row r="85" spans="1:17" x14ac:dyDescent="0.2">
      <c r="A85" s="47">
        <v>73</v>
      </c>
      <c r="B85" t="s">
        <v>45</v>
      </c>
      <c r="C85" t="s">
        <v>237</v>
      </c>
      <c r="D85" t="s">
        <v>346</v>
      </c>
      <c r="E85" s="22">
        <v>322</v>
      </c>
      <c r="K85" t="str">
        <f t="shared" si="22"/>
        <v>UV_KTR_TYP = 322</v>
      </c>
      <c r="Q85" s="39" t="str">
        <f t="shared" si="25"/>
        <v>IF UV_KTR_TYP = 322 THEN col = '73';</v>
      </c>
    </row>
    <row r="86" spans="1:17" x14ac:dyDescent="0.2">
      <c r="A86" s="47">
        <v>74</v>
      </c>
      <c r="B86" t="s">
        <v>180</v>
      </c>
      <c r="C86" t="s">
        <v>238</v>
      </c>
      <c r="D86" t="s">
        <v>347</v>
      </c>
      <c r="E86" s="22">
        <v>323</v>
      </c>
      <c r="K86" t="str">
        <f t="shared" si="22"/>
        <v>UV_KTR_TYP = 323</v>
      </c>
      <c r="Q86" s="39" t="str">
        <f t="shared" si="25"/>
        <v>IF UV_KTR_TYP = 323 THEN col = '74';</v>
      </c>
    </row>
    <row r="87" spans="1:17" x14ac:dyDescent="0.2">
      <c r="A87" s="47">
        <v>75</v>
      </c>
      <c r="B87" t="s">
        <v>181</v>
      </c>
      <c r="C87" t="s">
        <v>239</v>
      </c>
      <c r="D87" t="s">
        <v>348</v>
      </c>
      <c r="E87" s="22">
        <v>324</v>
      </c>
      <c r="K87" t="str">
        <f t="shared" si="22"/>
        <v>UV_KTR_TYP = 324</v>
      </c>
      <c r="Q87" s="39" t="str">
        <f t="shared" si="25"/>
        <v>IF UV_KTR_TYP = 324 THEN col = '75';</v>
      </c>
    </row>
    <row r="88" spans="1:17" x14ac:dyDescent="0.2">
      <c r="A88" s="47">
        <v>76</v>
      </c>
      <c r="B88" t="s">
        <v>182</v>
      </c>
      <c r="C88" t="s">
        <v>240</v>
      </c>
      <c r="D88" t="s">
        <v>349</v>
      </c>
      <c r="E88" s="22">
        <v>325</v>
      </c>
      <c r="K88" t="str">
        <f t="shared" si="22"/>
        <v>UV_KTR_TYP = 325</v>
      </c>
      <c r="Q88" s="39" t="str">
        <f t="shared" si="25"/>
        <v>IF UV_KTR_TYP = 325 THEN col = '76';</v>
      </c>
    </row>
    <row r="89" spans="1:17" x14ac:dyDescent="0.2">
      <c r="A89" s="47">
        <v>77</v>
      </c>
      <c r="B89" t="s">
        <v>183</v>
      </c>
      <c r="C89" t="s">
        <v>241</v>
      </c>
      <c r="D89" t="s">
        <v>350</v>
      </c>
      <c r="E89" s="22">
        <v>326</v>
      </c>
      <c r="K89" t="str">
        <f t="shared" si="22"/>
        <v>UV_KTR_TYP = 326</v>
      </c>
      <c r="Q89" s="39" t="str">
        <f t="shared" si="25"/>
        <v>IF UV_KTR_TYP = 326 THEN col = '77';</v>
      </c>
    </row>
    <row r="90" spans="1:17" x14ac:dyDescent="0.2">
      <c r="A90" s="47">
        <v>78</v>
      </c>
      <c r="B90" t="s">
        <v>278</v>
      </c>
      <c r="C90" t="s">
        <v>242</v>
      </c>
      <c r="D90" t="s">
        <v>351</v>
      </c>
      <c r="E90" s="22" t="s">
        <v>199</v>
      </c>
      <c r="K90" t="str">
        <f t="shared" si="22"/>
        <v>UV_KTR_TYP IN (371,372,373)</v>
      </c>
      <c r="Q90" s="39" t="str">
        <f t="shared" si="25"/>
        <v>IF UV_KTR_TYP IN (371,372,373) THEN col = '78';</v>
      </c>
    </row>
    <row r="91" spans="1:17" x14ac:dyDescent="0.2">
      <c r="A91" s="47">
        <v>79</v>
      </c>
      <c r="B91" t="s">
        <v>278</v>
      </c>
      <c r="C91" t="s">
        <v>242</v>
      </c>
      <c r="D91" t="s">
        <v>351</v>
      </c>
      <c r="E91" s="22" t="s">
        <v>200</v>
      </c>
      <c r="K91" t="str">
        <f t="shared" si="22"/>
        <v>UV_KTR_TYP IN (374,375,376)</v>
      </c>
      <c r="Q91" s="39" t="str">
        <f t="shared" si="25"/>
        <v>IF UV_KTR_TYP IN (374,375,376) THEN col = '79';</v>
      </c>
    </row>
    <row r="92" spans="1:17" x14ac:dyDescent="0.2">
      <c r="A92" s="47">
        <v>80</v>
      </c>
      <c r="B92" t="s">
        <v>278</v>
      </c>
      <c r="C92" t="s">
        <v>242</v>
      </c>
      <c r="D92" t="s">
        <v>351</v>
      </c>
      <c r="E92" s="22" t="s">
        <v>201</v>
      </c>
      <c r="K92" t="str">
        <f t="shared" si="22"/>
        <v>UV_KTR_TYP IN (377,378,379)</v>
      </c>
      <c r="Q92" s="39" t="str">
        <f t="shared" si="25"/>
        <v>IF UV_KTR_TYP IN (377,378,379) THEN col = '80';</v>
      </c>
    </row>
    <row r="93" spans="1:17" x14ac:dyDescent="0.2">
      <c r="A93" s="47">
        <v>81</v>
      </c>
      <c r="B93" t="s">
        <v>278</v>
      </c>
      <c r="C93" t="s">
        <v>242</v>
      </c>
      <c r="D93" t="s">
        <v>351</v>
      </c>
      <c r="E93" t="s">
        <v>363</v>
      </c>
      <c r="F93"/>
      <c r="K93" t="str">
        <f t="shared" si="22"/>
        <v>UV_KTR_TYP IN (380,381,382,402,301,302,303)</v>
      </c>
      <c r="Q93" s="39" t="str">
        <f t="shared" si="25"/>
        <v>IF UV_KTR_TYP IN (380,381,382,402,301,302,303) THEN col = '81';</v>
      </c>
    </row>
    <row r="94" spans="1:17" x14ac:dyDescent="0.2">
      <c r="A94" s="47">
        <v>82</v>
      </c>
      <c r="B94" t="s">
        <v>185</v>
      </c>
      <c r="C94" t="s">
        <v>243</v>
      </c>
      <c r="D94" t="s">
        <v>352</v>
      </c>
      <c r="E94" s="22">
        <v>383</v>
      </c>
      <c r="K94" t="str">
        <f t="shared" si="22"/>
        <v>UV_KTR_TYP = 383</v>
      </c>
      <c r="Q94" s="39" t="str">
        <f t="shared" si="25"/>
        <v>IF UV_KTR_TYP = 383 THEN col = '82';</v>
      </c>
    </row>
    <row r="95" spans="1:17" x14ac:dyDescent="0.2">
      <c r="A95" s="47">
        <v>83</v>
      </c>
      <c r="B95" t="s">
        <v>186</v>
      </c>
      <c r="C95" t="s">
        <v>244</v>
      </c>
      <c r="D95" t="s">
        <v>353</v>
      </c>
      <c r="E95" s="22">
        <v>401</v>
      </c>
      <c r="K95" t="str">
        <f t="shared" si="22"/>
        <v>UV_KTR_TYP = 401</v>
      </c>
      <c r="Q95" s="39" t="str">
        <f t="shared" si="25"/>
        <v>IF UV_KTR_TYP = 401 THEN col = '83';</v>
      </c>
    </row>
    <row r="96" spans="1:17" x14ac:dyDescent="0.2">
      <c r="A96" s="52">
        <v>84</v>
      </c>
      <c r="B96" s="48" t="s">
        <v>192</v>
      </c>
      <c r="C96" s="48" t="s">
        <v>245</v>
      </c>
      <c r="D96" s="48" t="s">
        <v>354</v>
      </c>
      <c r="E96" s="49">
        <v>403</v>
      </c>
      <c r="F96" s="49"/>
      <c r="G96" s="49"/>
      <c r="H96" s="49"/>
      <c r="I96" s="49"/>
      <c r="J96" s="49"/>
      <c r="K96" s="48" t="str">
        <f t="shared" si="22"/>
        <v>UV_KTR_TYP = 403</v>
      </c>
      <c r="L96" s="48"/>
      <c r="M96" s="48"/>
      <c r="N96" s="48"/>
      <c r="O96" s="48"/>
      <c r="P96" s="48"/>
      <c r="Q96" s="50" t="str">
        <f t="shared" si="25"/>
        <v>IF UV_KTR_TYP = 403 THEN col = '84';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6AEA027BD58C449ED682CA790C1DA1" ma:contentTypeVersion="2" ma:contentTypeDescription="Ein neues Dokument erstellen." ma:contentTypeScope="" ma:versionID="039b129cb7113286d5d2e514601927ae">
  <xsd:schema xmlns:xsd="http://www.w3.org/2001/XMLSchema" xmlns:xs="http://www.w3.org/2001/XMLSchema" xmlns:p="http://schemas.microsoft.com/office/2006/metadata/properties" xmlns:ns2="4ea3fe04-ef4e-4152-93e9-94f34b722c58" targetNamespace="http://schemas.microsoft.com/office/2006/metadata/properties" ma:root="true" ma:fieldsID="b99f6e70900da4e46a666e3a012647e6" ns2:_="">
    <xsd:import namespace="4ea3fe04-ef4e-4152-93e9-94f34b722c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3fe04-ef4e-4152-93e9-94f34b722c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9CC551-1A86-45E2-82C3-1F73E28226EF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4ea3fe04-ef4e-4152-93e9-94f34b722c58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769FD26-CF86-4A1B-AB28-BDFC1EBE00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44961C-4A32-4E96-A9D7-86A6AAB7D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3fe04-ef4e-4152-93e9-94f34b722c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ITARK_SPALTE</vt:lpstr>
      <vt:lpstr>conditions Spalte_V4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Tschantz Jonas BFS</dc:creator>
  <cp:lastModifiedBy>Menoud Lorraine BFS</cp:lastModifiedBy>
  <dcterms:created xsi:type="dcterms:W3CDTF">2024-07-10T08:09:58Z</dcterms:created>
  <dcterms:modified xsi:type="dcterms:W3CDTF">2026-10-22T06:23:10Z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0x010100A06AEA027BD58C449ED682CA790C1DA1</vt:lpwstr>
  </property>
  <property fmtid="{D5CDD505-2E9C-101B-9397-08002B2CF9AE}" pid="3" name="MSIP_Label_aa112399-b73b-40c1-8af2-919b124b9d91_Enabled">
    <vt:lpwstr>true</vt:lpwstr>
  </property>
  <property fmtid="{D5CDD505-2E9C-101B-9397-08002B2CF9AE}" pid="4" name="MSIP_Label_aa112399-b73b-40c1-8af2-919b124b9d91_SetDate">
    <vt:lpwstr>2025-03-13T13:09:30Z</vt:lpwstr>
  </property>
  <property fmtid="{D5CDD505-2E9C-101B-9397-08002B2CF9AE}" pid="5" name="MSIP_Label_aa112399-b73b-40c1-8af2-919b124b9d91_Method">
    <vt:lpwstr>Privileged</vt:lpwstr>
  </property>
  <property fmtid="{D5CDD505-2E9C-101B-9397-08002B2CF9AE}" pid="6" name="MSIP_Label_aa112399-b73b-40c1-8af2-919b124b9d91_Name">
    <vt:lpwstr>L2</vt:lpwstr>
  </property>
  <property fmtid="{D5CDD505-2E9C-101B-9397-08002B2CF9AE}" pid="7" name="MSIP_Label_aa112399-b73b-40c1-8af2-919b124b9d91_SiteId">
    <vt:lpwstr>6ae27add-8276-4a38-88c1-3a9c1f973767</vt:lpwstr>
  </property>
  <property fmtid="{D5CDD505-2E9C-101B-9397-08002B2CF9AE}" pid="8" name="MSIP_Label_aa112399-b73b-40c1-8af2-919b124b9d91_ActionId">
    <vt:lpwstr>b8348d14-ab0e-4477-b6e9-55e2c5597ebc</vt:lpwstr>
  </property>
  <property fmtid="{D5CDD505-2E9C-101B-9397-08002B2CF9AE}" pid="9" name="MSIP_Label_aa112399-b73b-40c1-8af2-919b124b9d91_ContentBits">
    <vt:lpwstr>0</vt:lpwstr>
  </property>
  <property fmtid="{D5CDD505-2E9C-101B-9397-08002B2CF9AE}" pid="10" name="MSIP_Label_aa112399-b73b-40c1-8af2-919b124b9d91_Tag">
    <vt:lpwstr>10, 0, 1, 1</vt:lpwstr>
  </property>
</Properties>
</file>